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itha V\Downloads\"/>
    </mc:Choice>
  </mc:AlternateContent>
  <xr:revisionPtr revIDLastSave="0" documentId="13_ncr:1_{23EB8E83-BF8B-40A8-BEEE-3F3253D2EC6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Problem_Statement" sheetId="1" r:id="rId1"/>
    <sheet name="Category" sheetId="2" r:id="rId2"/>
    <sheet name="Subcategory" sheetId="3" r:id="rId3"/>
    <sheet name="Product" sheetId="4" r:id="rId4"/>
    <sheet name="Customer" sheetId="5" r:id="rId5"/>
    <sheet name="Orders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7" l="1"/>
  <c r="E4" i="7"/>
</calcChain>
</file>

<file path=xl/sharedStrings.xml><?xml version="1.0" encoding="utf-8"?>
<sst xmlns="http://schemas.openxmlformats.org/spreadsheetml/2006/main" count="682" uniqueCount="281">
  <si>
    <t>Type</t>
  </si>
  <si>
    <t>Description</t>
  </si>
  <si>
    <t>Problem Statement</t>
  </si>
  <si>
    <t>A retail company wants to understand sales performance across products, categories, customers, regions and months.</t>
  </si>
  <si>
    <t>Business Question 1</t>
  </si>
  <si>
    <t>What are Total Sales, Total Orders, Total Quantity and Total Profit?</t>
  </si>
  <si>
    <t>Business Question 2</t>
  </si>
  <si>
    <t>Which category and subcategory generate the most sales?</t>
  </si>
  <si>
    <t>Business Question 3</t>
  </si>
  <si>
    <t>Which products are top sellers and which have low sales?</t>
  </si>
  <si>
    <t>Business Question 4</t>
  </si>
  <si>
    <t>Which customer segments and cities contribute most to sales?</t>
  </si>
  <si>
    <t>Business Question 5</t>
  </si>
  <si>
    <t>How does sales performance vary by region?</t>
  </si>
  <si>
    <t>Business Question 6</t>
  </si>
  <si>
    <t>What is the monthly sales trend?</t>
  </si>
  <si>
    <t>Business Question 7</t>
  </si>
  <si>
    <t>How do discounts affect profit?</t>
  </si>
  <si>
    <t>Business Question 8</t>
  </si>
  <si>
    <t>Which products/categories have strong sales but weak profit margin?</t>
  </si>
  <si>
    <t>CategoryID</t>
  </si>
  <si>
    <t>Category</t>
  </si>
  <si>
    <t>Electronics</t>
  </si>
  <si>
    <t>Furniture</t>
  </si>
  <si>
    <t>Office Supplies</t>
  </si>
  <si>
    <t>Accessories</t>
  </si>
  <si>
    <t>SubcategoryID</t>
  </si>
  <si>
    <t>Subcategory</t>
  </si>
  <si>
    <t>Phones</t>
  </si>
  <si>
    <t>Laptops</t>
  </si>
  <si>
    <t>Chairs</t>
  </si>
  <si>
    <t>Tables</t>
  </si>
  <si>
    <t>Paper</t>
  </si>
  <si>
    <t>Stationery</t>
  </si>
  <si>
    <t>Bags</t>
  </si>
  <si>
    <t>Headphones</t>
  </si>
  <si>
    <t>ProductID</t>
  </si>
  <si>
    <t>ProductName</t>
  </si>
  <si>
    <t>UnitPrice</t>
  </si>
  <si>
    <t>Smartphone X</t>
  </si>
  <si>
    <t>Smartphone Y</t>
  </si>
  <si>
    <t>Budget Phone</t>
  </si>
  <si>
    <t>Business Laptop</t>
  </si>
  <si>
    <t>Gaming Laptop</t>
  </si>
  <si>
    <t>Laptop Pro</t>
  </si>
  <si>
    <t>Office Chair</t>
  </si>
  <si>
    <t>Ergonomic Chair</t>
  </si>
  <si>
    <t>Visitor Chair</t>
  </si>
  <si>
    <t>Work Table</t>
  </si>
  <si>
    <t>Conference Table</t>
  </si>
  <si>
    <t>Study Table</t>
  </si>
  <si>
    <t>A4 Paper Pack</t>
  </si>
  <si>
    <t>Premium Paper</t>
  </si>
  <si>
    <t>Notebook</t>
  </si>
  <si>
    <t>Pen Set</t>
  </si>
  <si>
    <t>Backpack</t>
  </si>
  <si>
    <t>Laptop Bag</t>
  </si>
  <si>
    <t>Wireless Headphones</t>
  </si>
  <si>
    <t>Noise Cancelling Headphones</t>
  </si>
  <si>
    <t>CustomerID</t>
  </si>
  <si>
    <t>CustomerName</t>
  </si>
  <si>
    <t>Segment</t>
  </si>
  <si>
    <t>City</t>
  </si>
  <si>
    <t>C001</t>
  </si>
  <si>
    <t>Arun Traders</t>
  </si>
  <si>
    <t>Corporate</t>
  </si>
  <si>
    <t>Bengaluru</t>
  </si>
  <si>
    <t>C002</t>
  </si>
  <si>
    <t>Bharat Stores</t>
  </si>
  <si>
    <t>Retail</t>
  </si>
  <si>
    <t>Chennai</t>
  </si>
  <si>
    <t>C003</t>
  </si>
  <si>
    <t>City Mart</t>
  </si>
  <si>
    <t>Hyderabad</t>
  </si>
  <si>
    <t>C004</t>
  </si>
  <si>
    <t>Delta Solutions</t>
  </si>
  <si>
    <t>C005</t>
  </si>
  <si>
    <t>Eagle Retail</t>
  </si>
  <si>
    <t>Mysuru</t>
  </si>
  <si>
    <t>C006</t>
  </si>
  <si>
    <t>Fresh Choice</t>
  </si>
  <si>
    <t>C007</t>
  </si>
  <si>
    <t>Global Office</t>
  </si>
  <si>
    <t>C008</t>
  </si>
  <si>
    <t>Home Needs</t>
  </si>
  <si>
    <t>C009</t>
  </si>
  <si>
    <t>India Tech</t>
  </si>
  <si>
    <t>Pune</t>
  </si>
  <si>
    <t>C010</t>
  </si>
  <si>
    <t>Jupiter Services</t>
  </si>
  <si>
    <t>Mumbai</t>
  </si>
  <si>
    <t>C011</t>
  </si>
  <si>
    <t>Kaveri Enterprises</t>
  </si>
  <si>
    <t>C012</t>
  </si>
  <si>
    <t>Lotus Retail</t>
  </si>
  <si>
    <t>C013</t>
  </si>
  <si>
    <t>Metro Office</t>
  </si>
  <si>
    <t>C014</t>
  </si>
  <si>
    <t>Nova Systems</t>
  </si>
  <si>
    <t>C015</t>
  </si>
  <si>
    <t>Orbit Mart</t>
  </si>
  <si>
    <t>C016</t>
  </si>
  <si>
    <t>Prime Solutions</t>
  </si>
  <si>
    <t>C017</t>
  </si>
  <si>
    <t>QuickBuy</t>
  </si>
  <si>
    <t>C018</t>
  </si>
  <si>
    <t>Royal Traders</t>
  </si>
  <si>
    <t>C019</t>
  </si>
  <si>
    <t>Sunrise Stores</t>
  </si>
  <si>
    <t>C020</t>
  </si>
  <si>
    <t>Tech World</t>
  </si>
  <si>
    <t>C021</t>
  </si>
  <si>
    <t>Urban Needs</t>
  </si>
  <si>
    <t>C022</t>
  </si>
  <si>
    <t>Value Mart</t>
  </si>
  <si>
    <t>C023</t>
  </si>
  <si>
    <t>Westside Retail</t>
  </si>
  <si>
    <t>C024</t>
  </si>
  <si>
    <t>Xpress Solutions</t>
  </si>
  <si>
    <t>C025</t>
  </si>
  <si>
    <t>Yuva Stores</t>
  </si>
  <si>
    <t>C026</t>
  </si>
  <si>
    <t>Zenith Corp</t>
  </si>
  <si>
    <t>C027</t>
  </si>
  <si>
    <t>Apex Retail</t>
  </si>
  <si>
    <t>C028</t>
  </si>
  <si>
    <t>Blue Sky Traders</t>
  </si>
  <si>
    <t>C029</t>
  </si>
  <si>
    <t>Crown Office</t>
  </si>
  <si>
    <t>C030</t>
  </si>
  <si>
    <t>Digital Hub</t>
  </si>
  <si>
    <t>OrderID</t>
  </si>
  <si>
    <t>OrderDate</t>
  </si>
  <si>
    <t>Quantity</t>
  </si>
  <si>
    <t>DiscountPct</t>
  </si>
  <si>
    <t>Region</t>
  </si>
  <si>
    <t>GrossSales</t>
  </si>
  <si>
    <t>DiscountAmount</t>
  </si>
  <si>
    <t>NetSales</t>
  </si>
  <si>
    <t>Cost</t>
  </si>
  <si>
    <t>Profit</t>
  </si>
  <si>
    <t>ProfitMarginPct</t>
  </si>
  <si>
    <t>Year</t>
  </si>
  <si>
    <t>Month</t>
  </si>
  <si>
    <t>MonthName</t>
  </si>
  <si>
    <t>O0001</t>
  </si>
  <si>
    <t>North</t>
  </si>
  <si>
    <t>Jan</t>
  </si>
  <si>
    <t>O0002</t>
  </si>
  <si>
    <t>South</t>
  </si>
  <si>
    <t>O0003</t>
  </si>
  <si>
    <t>West</t>
  </si>
  <si>
    <t>O0004</t>
  </si>
  <si>
    <t>O0005</t>
  </si>
  <si>
    <t>East</t>
  </si>
  <si>
    <t>O0006</t>
  </si>
  <si>
    <t>O0007</t>
  </si>
  <si>
    <t>O0008</t>
  </si>
  <si>
    <t>O0009</t>
  </si>
  <si>
    <t>O0010</t>
  </si>
  <si>
    <t>O0011</t>
  </si>
  <si>
    <t>O0012</t>
  </si>
  <si>
    <t>Feb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</si>
  <si>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</si>
  <si>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</si>
  <si>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</si>
  <si>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</si>
  <si>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</si>
  <si>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</si>
  <si>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</si>
  <si>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</si>
  <si>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</si>
  <si>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Mar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</si>
  <si>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</si>
  <si>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</si>
  <si>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</si>
  <si>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</si>
  <si>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</si>
  <si>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</si>
  <si>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</si>
  <si>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</si>
  <si>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</si>
  <si>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</si>
  <si>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Apr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</si>
  <si>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</si>
  <si>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</si>
  <si>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</si>
  <si>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</si>
  <si>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</si>
  <si>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</si>
  <si>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</si>
  <si>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</si>
  <si>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</si>
  <si>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</si>
  <si>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May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</si>
  <si>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</si>
  <si>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</si>
  <si>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</si>
  <si>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</si>
  <si>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</si>
  <si>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</si>
  <si>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</si>
  <si>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</si>
  <si>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</si>
  <si>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</si>
  <si>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Jun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</si>
  <si>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</si>
  <si>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</si>
  <si>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</si>
  <si>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</si>
  <si>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</si>
  <si>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</si>
  <si>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</si>
  <si>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</si>
  <si>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</si>
  <si>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</si>
  <si>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Jul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</si>
  <si>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</si>
  <si>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</si>
  <si>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</si>
  <si>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</si>
  <si>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</si>
  <si>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</si>
  <si>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</si>
  <si>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</si>
  <si>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</si>
  <si>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</si>
  <si>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Aug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</si>
  <si>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</si>
  <si>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</si>
  <si>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</si>
  <si>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</si>
  <si>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</si>
  <si>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</si>
  <si>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</si>
  <si>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</si>
  <si>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</si>
  <si>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</si>
  <si>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Sep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</si>
  <si>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</si>
  <si>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</si>
  <si>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</si>
  <si>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</si>
  <si>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</si>
  <si>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</si>
  <si>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</si>
  <si>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</si>
  <si>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</si>
  <si>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</si>
  <si>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Oct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</si>
  <si>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</si>
  <si>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</si>
  <si>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</si>
  <si>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</si>
  <si>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</si>
  <si>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</si>
  <si>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</si>
  <si>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</si>
  <si>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</si>
  <si>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</si>
  <si>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Nov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</si>
  <si>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</si>
  <si>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</si>
  <si>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</si>
  <si>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</si>
  <si>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</si>
  <si>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</si>
  <si>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</si>
  <si>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</si>
  <si>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</si>
  <si>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</si>
  <si>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Dec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</si>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</sst>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137160</xdr:rowOff>
    </xdr:from>
    <xdr:to>
      <xdr:col>6</xdr:col>
      <xdr:colOff>502920</xdr:colOff>
      <xdr:row>6</xdr:row>
      <xdr:rowOff>121920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EFF0569-B897-A070-1ACD-52453EC45AB6}"/>
            </a:ext>
          </a:extLst>
        </xdr:cNvPr>
        <xdr:cNvSpPr/>
      </xdr:nvSpPr>
      <xdr:spPr>
        <a:xfrm>
          <a:off x="3383280" y="685800"/>
          <a:ext cx="777240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0"/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696C8-AE24-43A1-825A-EF93362B0D4A}" name="cat" displayName="cat" ref="A1:B5" totalsRowShown="0" headerRowDxfId="13" headerRowBorderDxfId="14" tableBorderDxfId="15">
  <autoFilter ref="A1:B5" xr:uid="{527696C8-AE24-43A1-825A-EF93362B0D4A}"/>
  <tableColumns count="2">
    <tableColumn id="1" xr3:uid="{9A8B3056-04BF-446C-9CFC-8750C9F001E6}" name="CategoryID"/>
    <tableColumn id="2" xr3:uid="{E11B9EDC-C582-40C6-8AE1-AF18DB8F76C3}" name="Catego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94BFD8-A601-4B7A-855E-4E84848FA0FF}" name="subcat" displayName="subcat" ref="A1:C9" totalsRowShown="0" headerRowDxfId="10" headerRowBorderDxfId="11" tableBorderDxfId="12">
  <autoFilter ref="A1:C9" xr:uid="{CE94BFD8-A601-4B7A-855E-4E84848FA0FF}"/>
  <tableColumns count="3">
    <tableColumn id="1" xr3:uid="{380532CA-F36E-4633-B746-B8C3BD04C483}" name="SubcategoryID"/>
    <tableColumn id="2" xr3:uid="{43CFD8BC-FE65-49CE-B329-E1B4D039BDA1}" name="CategoryID"/>
    <tableColumn id="3" xr3:uid="{2B8E74DC-00BC-41A2-9375-EDB25A2575B3}" name="Sub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4DFBB-506D-4A5B-8AF2-DBCFBFC200EE}" name="prod" displayName="prod" ref="A1:D21" totalsRowShown="0" headerRowDxfId="7" headerRowBorderDxfId="8" tableBorderDxfId="9">
  <autoFilter ref="A1:D21" xr:uid="{9504DFBB-506D-4A5B-8AF2-DBCFBFC200EE}"/>
  <tableColumns count="4">
    <tableColumn id="1" xr3:uid="{E416F78B-9383-418C-9FD3-3DA386E7DB62}" name="ProductID"/>
    <tableColumn id="2" xr3:uid="{F313D139-04D7-4870-9BF3-ACBC180EA209}" name="ProductName"/>
    <tableColumn id="3" xr3:uid="{44322D87-6E93-42CD-88F3-D092CB0D5158}" name="SubcategoryID"/>
    <tableColumn id="4" xr3:uid="{86306BF5-0549-49DA-B799-A493B2D96196}" name="Unit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66FEF1-C6E6-4FD6-890D-9114B3F63EE0}" name="cust" displayName="cust" ref="A1:D31" totalsRowShown="0" headerRowDxfId="4" headerRowBorderDxfId="5" tableBorderDxfId="6">
  <autoFilter ref="A1:D31" xr:uid="{8F66FEF1-C6E6-4FD6-890D-9114B3F63EE0}"/>
  <tableColumns count="4">
    <tableColumn id="1" xr3:uid="{4C5C2C48-CB96-4323-9B71-46EB85D044C8}" name="CustomerID"/>
    <tableColumn id="2" xr3:uid="{00FCC19E-B109-4473-8826-65BF7916FF0B}" name="CustomerName"/>
    <tableColumn id="3" xr3:uid="{913F9A28-3850-470F-AC23-216C26C0A458}" name="Segment"/>
    <tableColumn id="4" xr3:uid="{2256D96C-FD36-464C-A70E-52A607B85D52}" name="C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ED9BF8-BD05-45EB-9074-A6B3622B18F9}" name="orders" displayName="orders" ref="A1:Q121" totalsRowShown="0" headerRowDxfId="0" headerRowBorderDxfId="2" tableBorderDxfId="3">
  <autoFilter ref="A1:Q121" xr:uid="{C5ED9BF8-BD05-45EB-9074-A6B3622B18F9}"/>
  <tableColumns count="17">
    <tableColumn id="1" xr3:uid="{AEEFC216-ECE3-42CB-B88A-541E3993DD94}" name="OrderID"/>
    <tableColumn id="2" xr3:uid="{37AA6F48-C5CA-4CE0-818B-186D4EFBF5F7}" name="OrderDate" dataDxfId="1"/>
    <tableColumn id="3" xr3:uid="{25BF9E82-D574-41D1-BFB4-5DCBCF95A7FA}" name="CustomerID"/>
    <tableColumn id="4" xr3:uid="{9A9F74E5-CBE3-48A5-83C4-C46AAAC5C27A}" name="ProductID"/>
    <tableColumn id="5" xr3:uid="{56F85E2E-F7FE-4EA3-9CD7-AD5FA7CBEBC0}" name="Quantity"/>
    <tableColumn id="6" xr3:uid="{C201251A-D609-4DAA-8E90-B17E182B4A72}" name="DiscountPct"/>
    <tableColumn id="7" xr3:uid="{1BFD4DED-C2AB-4DE9-A2D3-3DFEFB3F2222}" name="Region"/>
    <tableColumn id="8" xr3:uid="{CC6D9DE3-1643-4B87-BCBE-652F01966675}" name="UnitPrice"/>
    <tableColumn id="9" xr3:uid="{6077AE3B-0B11-4503-A2A8-F7424496EC7A}" name="GrossSales"/>
    <tableColumn id="10" xr3:uid="{346697A3-8B93-4D8F-A1BB-1A3E0E630056}" name="DiscountAmount"/>
    <tableColumn id="11" xr3:uid="{B4D2CF6A-6BF6-4896-AFD0-AE0662F7680A}" name="NetSales"/>
    <tableColumn id="12" xr3:uid="{0780B049-2051-404D-B0E2-C90FD1195265}" name="Cost"/>
    <tableColumn id="13" xr3:uid="{1BA60516-DAE2-44A0-A163-990919BE5435}" name="Profit"/>
    <tableColumn id="14" xr3:uid="{310BBDC3-A69A-4818-8406-140950CCD8D4}" name="ProfitMarginPct"/>
    <tableColumn id="15" xr3:uid="{59114777-35D8-45B5-A5EE-58386820F7EF}" name="Year"/>
    <tableColumn id="16" xr3:uid="{79B21893-0567-4781-AE76-F197A6695B4A}" name="Month"/>
    <tableColumn id="17" xr3:uid="{EE2B2B73-A43D-446B-BAF3-4D9AE2C79AEB}" name="Month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4.4" x14ac:dyDescent="0.3"/>
  <cols>
    <col min="1" max="1" width="12.21875" customWidth="1"/>
    <col min="2" max="2" width="10.44140625" customWidth="1"/>
  </cols>
  <sheetData>
    <row r="1" spans="1:2" x14ac:dyDescent="0.3">
      <c r="A1" s="3" t="s">
        <v>20</v>
      </c>
      <c r="B1" s="3" t="s">
        <v>21</v>
      </c>
    </row>
    <row r="2" spans="1:2" x14ac:dyDescent="0.3">
      <c r="A2">
        <v>1</v>
      </c>
      <c r="B2" t="s">
        <v>22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24</v>
      </c>
    </row>
    <row r="5" spans="1:2" x14ac:dyDescent="0.3">
      <c r="A5">
        <v>4</v>
      </c>
      <c r="B5" t="s">
        <v>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C9"/>
    </sheetView>
  </sheetViews>
  <sheetFormatPr defaultRowHeight="14.4" x14ac:dyDescent="0.3"/>
  <cols>
    <col min="1" max="1" width="15.21875" customWidth="1"/>
    <col min="2" max="2" width="12.21875" customWidth="1"/>
    <col min="3" max="3" width="13.44140625" customWidth="1"/>
  </cols>
  <sheetData>
    <row r="1" spans="1:3" x14ac:dyDescent="0.3">
      <c r="A1" s="3" t="s">
        <v>26</v>
      </c>
      <c r="B1" s="3" t="s">
        <v>20</v>
      </c>
      <c r="C1" s="3" t="s">
        <v>27</v>
      </c>
    </row>
    <row r="2" spans="1:3" x14ac:dyDescent="0.3">
      <c r="A2">
        <v>1</v>
      </c>
      <c r="B2">
        <v>1</v>
      </c>
      <c r="C2" t="s">
        <v>28</v>
      </c>
    </row>
    <row r="3" spans="1:3" x14ac:dyDescent="0.3">
      <c r="A3">
        <v>2</v>
      </c>
      <c r="B3">
        <v>1</v>
      </c>
      <c r="C3" t="s">
        <v>29</v>
      </c>
    </row>
    <row r="4" spans="1:3" x14ac:dyDescent="0.3">
      <c r="A4">
        <v>3</v>
      </c>
      <c r="B4">
        <v>2</v>
      </c>
      <c r="C4" t="s">
        <v>30</v>
      </c>
    </row>
    <row r="5" spans="1:3" x14ac:dyDescent="0.3">
      <c r="A5">
        <v>4</v>
      </c>
      <c r="B5">
        <v>2</v>
      </c>
      <c r="C5" t="s">
        <v>31</v>
      </c>
    </row>
    <row r="6" spans="1:3" x14ac:dyDescent="0.3">
      <c r="A6">
        <v>5</v>
      </c>
      <c r="B6">
        <v>3</v>
      </c>
      <c r="C6" t="s">
        <v>32</v>
      </c>
    </row>
    <row r="7" spans="1:3" x14ac:dyDescent="0.3">
      <c r="A7">
        <v>6</v>
      </c>
      <c r="B7">
        <v>3</v>
      </c>
      <c r="C7" t="s">
        <v>33</v>
      </c>
    </row>
    <row r="8" spans="1:3" x14ac:dyDescent="0.3">
      <c r="A8">
        <v>7</v>
      </c>
      <c r="B8">
        <v>4</v>
      </c>
      <c r="C8" t="s">
        <v>34</v>
      </c>
    </row>
    <row r="9" spans="1:3" x14ac:dyDescent="0.3">
      <c r="A9">
        <v>8</v>
      </c>
      <c r="B9">
        <v>4</v>
      </c>
      <c r="C9" t="s">
        <v>35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D21"/>
    </sheetView>
  </sheetViews>
  <sheetFormatPr defaultRowHeight="14.4" x14ac:dyDescent="0.3"/>
  <cols>
    <col min="1" max="1" width="11.33203125" customWidth="1"/>
    <col min="2" max="2" width="14.5546875" customWidth="1"/>
    <col min="3" max="3" width="15.21875" customWidth="1"/>
    <col min="4" max="4" width="10.5546875" customWidth="1"/>
  </cols>
  <sheetData>
    <row r="1" spans="1:4" x14ac:dyDescent="0.3">
      <c r="A1" s="3" t="s">
        <v>36</v>
      </c>
      <c r="B1" s="3" t="s">
        <v>37</v>
      </c>
      <c r="C1" s="3" t="s">
        <v>26</v>
      </c>
      <c r="D1" s="3" t="s">
        <v>38</v>
      </c>
    </row>
    <row r="2" spans="1:4" x14ac:dyDescent="0.3">
      <c r="A2">
        <v>101</v>
      </c>
      <c r="B2" t="s">
        <v>39</v>
      </c>
      <c r="C2">
        <v>1</v>
      </c>
      <c r="D2">
        <v>550</v>
      </c>
    </row>
    <row r="3" spans="1:4" x14ac:dyDescent="0.3">
      <c r="A3">
        <v>102</v>
      </c>
      <c r="B3" t="s">
        <v>40</v>
      </c>
      <c r="C3">
        <v>1</v>
      </c>
      <c r="D3">
        <v>720</v>
      </c>
    </row>
    <row r="4" spans="1:4" x14ac:dyDescent="0.3">
      <c r="A4">
        <v>103</v>
      </c>
      <c r="B4" t="s">
        <v>41</v>
      </c>
      <c r="C4">
        <v>1</v>
      </c>
      <c r="D4">
        <v>280</v>
      </c>
    </row>
    <row r="5" spans="1:4" x14ac:dyDescent="0.3">
      <c r="A5">
        <v>104</v>
      </c>
      <c r="B5" t="s">
        <v>42</v>
      </c>
      <c r="C5">
        <v>2</v>
      </c>
      <c r="D5">
        <v>850</v>
      </c>
    </row>
    <row r="6" spans="1:4" x14ac:dyDescent="0.3">
      <c r="A6">
        <v>105</v>
      </c>
      <c r="B6" t="s">
        <v>43</v>
      </c>
      <c r="C6">
        <v>2</v>
      </c>
      <c r="D6">
        <v>1200</v>
      </c>
    </row>
    <row r="7" spans="1:4" x14ac:dyDescent="0.3">
      <c r="A7">
        <v>106</v>
      </c>
      <c r="B7" t="s">
        <v>44</v>
      </c>
      <c r="C7">
        <v>2</v>
      </c>
      <c r="D7">
        <v>1450</v>
      </c>
    </row>
    <row r="8" spans="1:4" x14ac:dyDescent="0.3">
      <c r="A8">
        <v>107</v>
      </c>
      <c r="B8" t="s">
        <v>45</v>
      </c>
      <c r="C8">
        <v>3</v>
      </c>
      <c r="D8">
        <v>180</v>
      </c>
    </row>
    <row r="9" spans="1:4" x14ac:dyDescent="0.3">
      <c r="A9">
        <v>108</v>
      </c>
      <c r="B9" t="s">
        <v>46</v>
      </c>
      <c r="C9">
        <v>3</v>
      </c>
      <c r="D9">
        <v>260</v>
      </c>
    </row>
    <row r="10" spans="1:4" x14ac:dyDescent="0.3">
      <c r="A10">
        <v>109</v>
      </c>
      <c r="B10" t="s">
        <v>47</v>
      </c>
      <c r="C10">
        <v>3</v>
      </c>
      <c r="D10">
        <v>110</v>
      </c>
    </row>
    <row r="11" spans="1:4" x14ac:dyDescent="0.3">
      <c r="A11">
        <v>110</v>
      </c>
      <c r="B11" t="s">
        <v>48</v>
      </c>
      <c r="C11">
        <v>4</v>
      </c>
      <c r="D11">
        <v>320</v>
      </c>
    </row>
    <row r="12" spans="1:4" x14ac:dyDescent="0.3">
      <c r="A12">
        <v>111</v>
      </c>
      <c r="B12" t="s">
        <v>49</v>
      </c>
      <c r="C12">
        <v>4</v>
      </c>
      <c r="D12">
        <v>650</v>
      </c>
    </row>
    <row r="13" spans="1:4" x14ac:dyDescent="0.3">
      <c r="A13">
        <v>112</v>
      </c>
      <c r="B13" t="s">
        <v>50</v>
      </c>
      <c r="C13">
        <v>4</v>
      </c>
      <c r="D13">
        <v>240</v>
      </c>
    </row>
    <row r="14" spans="1:4" x14ac:dyDescent="0.3">
      <c r="A14">
        <v>113</v>
      </c>
      <c r="B14" t="s">
        <v>51</v>
      </c>
      <c r="C14">
        <v>5</v>
      </c>
      <c r="D14">
        <v>8</v>
      </c>
    </row>
    <row r="15" spans="1:4" x14ac:dyDescent="0.3">
      <c r="A15">
        <v>114</v>
      </c>
      <c r="B15" t="s">
        <v>52</v>
      </c>
      <c r="C15">
        <v>5</v>
      </c>
      <c r="D15">
        <v>12</v>
      </c>
    </row>
    <row r="16" spans="1:4" x14ac:dyDescent="0.3">
      <c r="A16">
        <v>115</v>
      </c>
      <c r="B16" t="s">
        <v>53</v>
      </c>
      <c r="C16">
        <v>6</v>
      </c>
      <c r="D16">
        <v>5</v>
      </c>
    </row>
    <row r="17" spans="1:4" x14ac:dyDescent="0.3">
      <c r="A17">
        <v>116</v>
      </c>
      <c r="B17" t="s">
        <v>54</v>
      </c>
      <c r="C17">
        <v>6</v>
      </c>
      <c r="D17">
        <v>9</v>
      </c>
    </row>
    <row r="18" spans="1:4" x14ac:dyDescent="0.3">
      <c r="A18">
        <v>117</v>
      </c>
      <c r="B18" t="s">
        <v>55</v>
      </c>
      <c r="C18">
        <v>7</v>
      </c>
      <c r="D18">
        <v>35</v>
      </c>
    </row>
    <row r="19" spans="1:4" x14ac:dyDescent="0.3">
      <c r="A19">
        <v>118</v>
      </c>
      <c r="B19" t="s">
        <v>56</v>
      </c>
      <c r="C19">
        <v>7</v>
      </c>
      <c r="D19">
        <v>55</v>
      </c>
    </row>
    <row r="20" spans="1:4" x14ac:dyDescent="0.3">
      <c r="A20">
        <v>119</v>
      </c>
      <c r="B20" t="s">
        <v>57</v>
      </c>
      <c r="C20">
        <v>8</v>
      </c>
      <c r="D20">
        <v>45</v>
      </c>
    </row>
    <row r="21" spans="1:4" x14ac:dyDescent="0.3">
      <c r="A21">
        <v>120</v>
      </c>
      <c r="B21" t="s">
        <v>58</v>
      </c>
      <c r="C21">
        <v>8</v>
      </c>
      <c r="D21">
        <v>90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opLeftCell="A15" workbookViewId="0">
      <selection sqref="A1:D31"/>
    </sheetView>
  </sheetViews>
  <sheetFormatPr defaultRowHeight="14.4" x14ac:dyDescent="0.3"/>
  <cols>
    <col min="1" max="1" width="12.77734375" customWidth="1"/>
    <col min="2" max="2" width="16" customWidth="1"/>
    <col min="3" max="3" width="10.33203125" customWidth="1"/>
  </cols>
  <sheetData>
    <row r="1" spans="1:4" x14ac:dyDescent="0.3">
      <c r="A1" s="3" t="s">
        <v>59</v>
      </c>
      <c r="B1" s="3" t="s">
        <v>60</v>
      </c>
      <c r="C1" s="3" t="s">
        <v>61</v>
      </c>
      <c r="D1" s="3" t="s">
        <v>62</v>
      </c>
    </row>
    <row r="2" spans="1:4" x14ac:dyDescent="0.3">
      <c r="A2" t="s">
        <v>63</v>
      </c>
      <c r="B2" t="s">
        <v>64</v>
      </c>
      <c r="C2" t="s">
        <v>65</v>
      </c>
      <c r="D2" t="s">
        <v>66</v>
      </c>
    </row>
    <row r="3" spans="1:4" x14ac:dyDescent="0.3">
      <c r="A3" t="s">
        <v>67</v>
      </c>
      <c r="B3" t="s">
        <v>68</v>
      </c>
      <c r="C3" t="s">
        <v>69</v>
      </c>
      <c r="D3" t="s">
        <v>70</v>
      </c>
    </row>
    <row r="4" spans="1:4" x14ac:dyDescent="0.3">
      <c r="A4" t="s">
        <v>71</v>
      </c>
      <c r="B4" t="s">
        <v>72</v>
      </c>
      <c r="C4" t="s">
        <v>69</v>
      </c>
      <c r="D4" t="s">
        <v>73</v>
      </c>
    </row>
    <row r="5" spans="1:4" x14ac:dyDescent="0.3">
      <c r="A5" t="s">
        <v>74</v>
      </c>
      <c r="B5" t="s">
        <v>75</v>
      </c>
      <c r="C5" t="s">
        <v>65</v>
      </c>
      <c r="D5" t="s">
        <v>66</v>
      </c>
    </row>
    <row r="6" spans="1:4" x14ac:dyDescent="0.3">
      <c r="A6" t="s">
        <v>76</v>
      </c>
      <c r="B6" t="s">
        <v>77</v>
      </c>
      <c r="C6" t="s">
        <v>69</v>
      </c>
      <c r="D6" t="s">
        <v>78</v>
      </c>
    </row>
    <row r="7" spans="1:4" x14ac:dyDescent="0.3">
      <c r="A7" t="s">
        <v>79</v>
      </c>
      <c r="B7" t="s">
        <v>80</v>
      </c>
      <c r="C7" t="s">
        <v>69</v>
      </c>
      <c r="D7" t="s">
        <v>70</v>
      </c>
    </row>
    <row r="8" spans="1:4" x14ac:dyDescent="0.3">
      <c r="A8" t="s">
        <v>81</v>
      </c>
      <c r="B8" t="s">
        <v>82</v>
      </c>
      <c r="C8" t="s">
        <v>65</v>
      </c>
      <c r="D8" t="s">
        <v>73</v>
      </c>
    </row>
    <row r="9" spans="1:4" x14ac:dyDescent="0.3">
      <c r="A9" t="s">
        <v>83</v>
      </c>
      <c r="B9" t="s">
        <v>84</v>
      </c>
      <c r="C9" t="s">
        <v>69</v>
      </c>
      <c r="D9" t="s">
        <v>66</v>
      </c>
    </row>
    <row r="10" spans="1:4" x14ac:dyDescent="0.3">
      <c r="A10" t="s">
        <v>85</v>
      </c>
      <c r="B10" t="s">
        <v>86</v>
      </c>
      <c r="C10" t="s">
        <v>65</v>
      </c>
      <c r="D10" t="s">
        <v>87</v>
      </c>
    </row>
    <row r="11" spans="1:4" x14ac:dyDescent="0.3">
      <c r="A11" t="s">
        <v>88</v>
      </c>
      <c r="B11" t="s">
        <v>89</v>
      </c>
      <c r="C11" t="s">
        <v>65</v>
      </c>
      <c r="D11" t="s">
        <v>90</v>
      </c>
    </row>
    <row r="12" spans="1:4" x14ac:dyDescent="0.3">
      <c r="A12" t="s">
        <v>91</v>
      </c>
      <c r="B12" t="s">
        <v>92</v>
      </c>
      <c r="C12" t="s">
        <v>69</v>
      </c>
      <c r="D12" t="s">
        <v>66</v>
      </c>
    </row>
    <row r="13" spans="1:4" x14ac:dyDescent="0.3">
      <c r="A13" t="s">
        <v>93</v>
      </c>
      <c r="B13" t="s">
        <v>94</v>
      </c>
      <c r="C13" t="s">
        <v>69</v>
      </c>
      <c r="D13" t="s">
        <v>70</v>
      </c>
    </row>
    <row r="14" spans="1:4" x14ac:dyDescent="0.3">
      <c r="A14" t="s">
        <v>95</v>
      </c>
      <c r="B14" t="s">
        <v>96</v>
      </c>
      <c r="C14" t="s">
        <v>65</v>
      </c>
      <c r="D14" t="s">
        <v>73</v>
      </c>
    </row>
    <row r="15" spans="1:4" x14ac:dyDescent="0.3">
      <c r="A15" t="s">
        <v>97</v>
      </c>
      <c r="B15" t="s">
        <v>98</v>
      </c>
      <c r="C15" t="s">
        <v>65</v>
      </c>
      <c r="D15" t="s">
        <v>87</v>
      </c>
    </row>
    <row r="16" spans="1:4" x14ac:dyDescent="0.3">
      <c r="A16" t="s">
        <v>99</v>
      </c>
      <c r="B16" t="s">
        <v>100</v>
      </c>
      <c r="C16" t="s">
        <v>69</v>
      </c>
      <c r="D16" t="s">
        <v>78</v>
      </c>
    </row>
    <row r="17" spans="1:4" x14ac:dyDescent="0.3">
      <c r="A17" t="s">
        <v>101</v>
      </c>
      <c r="B17" t="s">
        <v>102</v>
      </c>
      <c r="C17" t="s">
        <v>65</v>
      </c>
      <c r="D17" t="s">
        <v>90</v>
      </c>
    </row>
    <row r="18" spans="1:4" x14ac:dyDescent="0.3">
      <c r="A18" t="s">
        <v>103</v>
      </c>
      <c r="B18" t="s">
        <v>104</v>
      </c>
      <c r="C18" t="s">
        <v>69</v>
      </c>
      <c r="D18" t="s">
        <v>66</v>
      </c>
    </row>
    <row r="19" spans="1:4" x14ac:dyDescent="0.3">
      <c r="A19" t="s">
        <v>105</v>
      </c>
      <c r="B19" t="s">
        <v>106</v>
      </c>
      <c r="C19" t="s">
        <v>69</v>
      </c>
      <c r="D19" t="s">
        <v>70</v>
      </c>
    </row>
    <row r="20" spans="1:4" x14ac:dyDescent="0.3">
      <c r="A20" t="s">
        <v>107</v>
      </c>
      <c r="B20" t="s">
        <v>108</v>
      </c>
      <c r="C20" t="s">
        <v>69</v>
      </c>
      <c r="D20" t="s">
        <v>73</v>
      </c>
    </row>
    <row r="21" spans="1:4" x14ac:dyDescent="0.3">
      <c r="A21" t="s">
        <v>109</v>
      </c>
      <c r="B21" t="s">
        <v>110</v>
      </c>
      <c r="C21" t="s">
        <v>65</v>
      </c>
      <c r="D21" t="s">
        <v>87</v>
      </c>
    </row>
    <row r="22" spans="1:4" x14ac:dyDescent="0.3">
      <c r="A22" t="s">
        <v>111</v>
      </c>
      <c r="B22" t="s">
        <v>112</v>
      </c>
      <c r="C22" t="s">
        <v>69</v>
      </c>
      <c r="D22" t="s">
        <v>90</v>
      </c>
    </row>
    <row r="23" spans="1:4" x14ac:dyDescent="0.3">
      <c r="A23" t="s">
        <v>113</v>
      </c>
      <c r="B23" t="s">
        <v>114</v>
      </c>
      <c r="C23" t="s">
        <v>69</v>
      </c>
      <c r="D23" t="s">
        <v>66</v>
      </c>
    </row>
    <row r="24" spans="1:4" x14ac:dyDescent="0.3">
      <c r="A24" t="s">
        <v>115</v>
      </c>
      <c r="B24" t="s">
        <v>116</v>
      </c>
      <c r="C24" t="s">
        <v>65</v>
      </c>
      <c r="D24" t="s">
        <v>70</v>
      </c>
    </row>
    <row r="25" spans="1:4" x14ac:dyDescent="0.3">
      <c r="A25" t="s">
        <v>117</v>
      </c>
      <c r="B25" t="s">
        <v>118</v>
      </c>
      <c r="C25" t="s">
        <v>65</v>
      </c>
      <c r="D25" t="s">
        <v>73</v>
      </c>
    </row>
    <row r="26" spans="1:4" x14ac:dyDescent="0.3">
      <c r="A26" t="s">
        <v>119</v>
      </c>
      <c r="B26" t="s">
        <v>120</v>
      </c>
      <c r="C26" t="s">
        <v>69</v>
      </c>
      <c r="D26" t="s">
        <v>78</v>
      </c>
    </row>
    <row r="27" spans="1:4" x14ac:dyDescent="0.3">
      <c r="A27" t="s">
        <v>121</v>
      </c>
      <c r="B27" t="s">
        <v>122</v>
      </c>
      <c r="C27" t="s">
        <v>65</v>
      </c>
      <c r="D27" t="s">
        <v>87</v>
      </c>
    </row>
    <row r="28" spans="1:4" x14ac:dyDescent="0.3">
      <c r="A28" t="s">
        <v>123</v>
      </c>
      <c r="B28" t="s">
        <v>124</v>
      </c>
      <c r="C28" t="s">
        <v>69</v>
      </c>
      <c r="D28" t="s">
        <v>90</v>
      </c>
    </row>
    <row r="29" spans="1:4" x14ac:dyDescent="0.3">
      <c r="A29" t="s">
        <v>125</v>
      </c>
      <c r="B29" t="s">
        <v>126</v>
      </c>
      <c r="C29" t="s">
        <v>69</v>
      </c>
      <c r="D29" t="s">
        <v>66</v>
      </c>
    </row>
    <row r="30" spans="1:4" x14ac:dyDescent="0.3">
      <c r="A30" t="s">
        <v>127</v>
      </c>
      <c r="B30" t="s">
        <v>128</v>
      </c>
      <c r="C30" t="s">
        <v>65</v>
      </c>
      <c r="D30" t="s">
        <v>70</v>
      </c>
    </row>
    <row r="31" spans="1:4" x14ac:dyDescent="0.3">
      <c r="A31" t="s">
        <v>129</v>
      </c>
      <c r="B31" t="s">
        <v>130</v>
      </c>
      <c r="C31" t="s">
        <v>65</v>
      </c>
      <c r="D31" t="s">
        <v>73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1"/>
  <sheetViews>
    <sheetView topLeftCell="C13" workbookViewId="0">
      <selection activeCell="S27" sqref="S27"/>
    </sheetView>
  </sheetViews>
  <sheetFormatPr defaultRowHeight="14.4" x14ac:dyDescent="0.3"/>
  <cols>
    <col min="1" max="1" width="9.44140625" customWidth="1"/>
    <col min="2" max="2" width="18.109375" bestFit="1" customWidth="1"/>
    <col min="3" max="3" width="12.77734375" customWidth="1"/>
    <col min="4" max="4" width="11.33203125" customWidth="1"/>
    <col min="5" max="5" width="10.21875" customWidth="1"/>
    <col min="6" max="6" width="12.88671875" customWidth="1"/>
    <col min="8" max="8" width="10.5546875" customWidth="1"/>
    <col min="9" max="9" width="11.6640625" customWidth="1"/>
    <col min="10" max="10" width="17.109375" customWidth="1"/>
    <col min="11" max="11" width="10.109375" customWidth="1"/>
    <col min="14" max="14" width="16.21875" customWidth="1"/>
    <col min="17" max="17" width="13.6640625" customWidth="1"/>
  </cols>
  <sheetData>
    <row r="1" spans="1:17" x14ac:dyDescent="0.3">
      <c r="A1" s="3" t="s">
        <v>131</v>
      </c>
      <c r="B1" s="3" t="s">
        <v>132</v>
      </c>
      <c r="C1" s="3" t="s">
        <v>59</v>
      </c>
      <c r="D1" s="3" t="s">
        <v>36</v>
      </c>
      <c r="E1" s="3" t="s">
        <v>133</v>
      </c>
      <c r="F1" s="3" t="s">
        <v>134</v>
      </c>
      <c r="G1" s="3" t="s">
        <v>135</v>
      </c>
      <c r="H1" s="3" t="s">
        <v>38</v>
      </c>
      <c r="I1" s="3" t="s">
        <v>136</v>
      </c>
      <c r="J1" s="3" t="s">
        <v>137</v>
      </c>
      <c r="K1" s="3" t="s">
        <v>138</v>
      </c>
      <c r="L1" s="3" t="s">
        <v>139</v>
      </c>
      <c r="M1" s="3" t="s">
        <v>140</v>
      </c>
      <c r="N1" s="3" t="s">
        <v>141</v>
      </c>
      <c r="O1" s="3" t="s">
        <v>142</v>
      </c>
      <c r="P1" s="3" t="s">
        <v>143</v>
      </c>
      <c r="Q1" s="3" t="s">
        <v>144</v>
      </c>
    </row>
    <row r="2" spans="1:17" x14ac:dyDescent="0.3">
      <c r="A2" t="s">
        <v>145</v>
      </c>
      <c r="B2" s="2">
        <v>45658</v>
      </c>
      <c r="C2" t="s">
        <v>71</v>
      </c>
      <c r="D2">
        <v>109</v>
      </c>
      <c r="E2">
        <v>1</v>
      </c>
      <c r="F2">
        <v>10</v>
      </c>
      <c r="G2" t="s">
        <v>146</v>
      </c>
      <c r="H2">
        <v>110</v>
      </c>
      <c r="I2">
        <v>110</v>
      </c>
      <c r="J2">
        <v>11</v>
      </c>
      <c r="K2">
        <v>99</v>
      </c>
      <c r="L2">
        <v>59.4</v>
      </c>
      <c r="M2">
        <v>39.6</v>
      </c>
      <c r="N2">
        <v>40</v>
      </c>
      <c r="O2">
        <v>2025</v>
      </c>
      <c r="P2">
        <v>1</v>
      </c>
      <c r="Q2" t="s">
        <v>147</v>
      </c>
    </row>
    <row r="3" spans="1:17" x14ac:dyDescent="0.3">
      <c r="A3" t="s">
        <v>148</v>
      </c>
      <c r="B3" s="2">
        <v>45661.058823529413</v>
      </c>
      <c r="C3" t="s">
        <v>117</v>
      </c>
      <c r="D3">
        <v>114</v>
      </c>
      <c r="E3">
        <v>5</v>
      </c>
      <c r="F3">
        <v>10</v>
      </c>
      <c r="G3" t="s">
        <v>149</v>
      </c>
      <c r="H3">
        <v>12</v>
      </c>
      <c r="I3">
        <v>60</v>
      </c>
      <c r="J3">
        <v>6</v>
      </c>
      <c r="K3">
        <v>54</v>
      </c>
      <c r="L3">
        <v>35.1</v>
      </c>
      <c r="M3">
        <v>18.899999999999999</v>
      </c>
      <c r="N3">
        <v>35</v>
      </c>
      <c r="O3">
        <v>2025</v>
      </c>
      <c r="P3">
        <v>1</v>
      </c>
      <c r="Q3" t="s">
        <v>147</v>
      </c>
    </row>
    <row r="4" spans="1:17" x14ac:dyDescent="0.3">
      <c r="A4" t="s">
        <v>150</v>
      </c>
      <c r="B4" s="2">
        <v>45664.117647058818</v>
      </c>
      <c r="C4" t="s">
        <v>109</v>
      </c>
      <c r="D4">
        <v>114</v>
      </c>
      <c r="E4">
        <v>1</v>
      </c>
      <c r="F4">
        <v>0</v>
      </c>
      <c r="G4" t="s">
        <v>151</v>
      </c>
      <c r="H4">
        <v>12</v>
      </c>
      <c r="I4">
        <v>12</v>
      </c>
      <c r="J4">
        <v>0</v>
      </c>
      <c r="K4">
        <v>12</v>
      </c>
      <c r="L4">
        <v>8.3999999999999986</v>
      </c>
      <c r="M4">
        <v>3.600000000000001</v>
      </c>
      <c r="N4">
        <v>30.000000000000011</v>
      </c>
      <c r="O4">
        <v>2025</v>
      </c>
      <c r="P4">
        <v>1</v>
      </c>
      <c r="Q4" t="s">
        <v>147</v>
      </c>
    </row>
    <row r="5" spans="1:17" x14ac:dyDescent="0.3">
      <c r="A5" t="s">
        <v>152</v>
      </c>
      <c r="B5" s="2">
        <v>45667.176470588231</v>
      </c>
      <c r="C5" t="s">
        <v>97</v>
      </c>
      <c r="D5">
        <v>110</v>
      </c>
      <c r="E5">
        <v>5</v>
      </c>
      <c r="F5">
        <v>0</v>
      </c>
      <c r="G5" t="s">
        <v>151</v>
      </c>
      <c r="H5">
        <v>320</v>
      </c>
      <c r="I5">
        <v>1600</v>
      </c>
      <c r="J5">
        <v>0</v>
      </c>
      <c r="K5">
        <v>1600</v>
      </c>
      <c r="L5">
        <v>880.00000000000011</v>
      </c>
      <c r="M5">
        <v>719.99999999999989</v>
      </c>
      <c r="N5">
        <v>44.999999999999993</v>
      </c>
      <c r="O5">
        <v>2025</v>
      </c>
      <c r="P5">
        <v>1</v>
      </c>
      <c r="Q5" t="s">
        <v>147</v>
      </c>
    </row>
    <row r="6" spans="1:17" x14ac:dyDescent="0.3">
      <c r="A6" t="s">
        <v>153</v>
      </c>
      <c r="B6" s="2">
        <v>45670.235294117643</v>
      </c>
      <c r="C6" t="s">
        <v>95</v>
      </c>
      <c r="D6">
        <v>118</v>
      </c>
      <c r="E6">
        <v>5</v>
      </c>
      <c r="F6">
        <v>10</v>
      </c>
      <c r="G6" t="s">
        <v>154</v>
      </c>
      <c r="H6">
        <v>55</v>
      </c>
      <c r="I6">
        <v>275</v>
      </c>
      <c r="J6">
        <v>27.5</v>
      </c>
      <c r="K6">
        <v>247.5</v>
      </c>
      <c r="L6">
        <v>136.125</v>
      </c>
      <c r="M6">
        <v>111.375</v>
      </c>
      <c r="N6">
        <v>45</v>
      </c>
      <c r="O6">
        <v>2025</v>
      </c>
      <c r="P6">
        <v>1</v>
      </c>
      <c r="Q6" t="s">
        <v>147</v>
      </c>
    </row>
    <row r="7" spans="1:17" x14ac:dyDescent="0.3">
      <c r="A7" t="s">
        <v>155</v>
      </c>
      <c r="B7" s="2">
        <v>45673.294117647049</v>
      </c>
      <c r="C7" t="s">
        <v>121</v>
      </c>
      <c r="D7">
        <v>112</v>
      </c>
      <c r="E7">
        <v>1</v>
      </c>
      <c r="F7">
        <v>5</v>
      </c>
      <c r="G7" t="s">
        <v>151</v>
      </c>
      <c r="H7">
        <v>240</v>
      </c>
      <c r="I7">
        <v>240</v>
      </c>
      <c r="J7">
        <v>12</v>
      </c>
      <c r="K7">
        <v>228</v>
      </c>
      <c r="L7">
        <v>125.4</v>
      </c>
      <c r="M7">
        <v>102.6</v>
      </c>
      <c r="N7">
        <v>44.999999999999993</v>
      </c>
      <c r="O7">
        <v>2025</v>
      </c>
      <c r="P7">
        <v>1</v>
      </c>
      <c r="Q7" t="s">
        <v>147</v>
      </c>
    </row>
    <row r="8" spans="1:17" x14ac:dyDescent="0.3">
      <c r="A8" t="s">
        <v>156</v>
      </c>
      <c r="B8" s="2">
        <v>45676.352941176468</v>
      </c>
      <c r="C8" t="s">
        <v>71</v>
      </c>
      <c r="D8">
        <v>102</v>
      </c>
      <c r="E8">
        <v>6</v>
      </c>
      <c r="F8">
        <v>0</v>
      </c>
      <c r="G8" t="s">
        <v>149</v>
      </c>
      <c r="H8">
        <v>720</v>
      </c>
      <c r="I8">
        <v>4320</v>
      </c>
      <c r="J8">
        <v>0</v>
      </c>
      <c r="K8">
        <v>4320</v>
      </c>
      <c r="L8">
        <v>2376</v>
      </c>
      <c r="M8">
        <v>1944</v>
      </c>
      <c r="N8">
        <v>45</v>
      </c>
      <c r="O8">
        <v>2025</v>
      </c>
      <c r="P8">
        <v>1</v>
      </c>
      <c r="Q8" t="s">
        <v>147</v>
      </c>
    </row>
    <row r="9" spans="1:17" x14ac:dyDescent="0.3">
      <c r="A9" t="s">
        <v>157</v>
      </c>
      <c r="B9" s="2">
        <v>45679.411764705881</v>
      </c>
      <c r="C9" t="s">
        <v>111</v>
      </c>
      <c r="D9">
        <v>116</v>
      </c>
      <c r="E9">
        <v>3</v>
      </c>
      <c r="F9">
        <v>0</v>
      </c>
      <c r="G9" t="s">
        <v>151</v>
      </c>
      <c r="H9">
        <v>9</v>
      </c>
      <c r="I9">
        <v>27</v>
      </c>
      <c r="J9">
        <v>0</v>
      </c>
      <c r="K9">
        <v>27</v>
      </c>
      <c r="L9">
        <v>14.85</v>
      </c>
      <c r="M9">
        <v>12.15</v>
      </c>
      <c r="N9">
        <v>44.999999999999993</v>
      </c>
      <c r="O9">
        <v>2025</v>
      </c>
      <c r="P9">
        <v>1</v>
      </c>
      <c r="Q9" t="s">
        <v>147</v>
      </c>
    </row>
    <row r="10" spans="1:17" x14ac:dyDescent="0.3">
      <c r="A10" t="s">
        <v>158</v>
      </c>
      <c r="B10" s="2">
        <v>45682.470588235286</v>
      </c>
      <c r="C10" t="s">
        <v>81</v>
      </c>
      <c r="D10">
        <v>112</v>
      </c>
      <c r="E10">
        <v>6</v>
      </c>
      <c r="F10">
        <v>5</v>
      </c>
      <c r="G10" t="s">
        <v>149</v>
      </c>
      <c r="H10">
        <v>240</v>
      </c>
      <c r="I10">
        <v>1440</v>
      </c>
      <c r="J10">
        <v>72</v>
      </c>
      <c r="K10">
        <v>1368</v>
      </c>
      <c r="L10">
        <v>957.59999999999991</v>
      </c>
      <c r="M10">
        <v>410.40000000000009</v>
      </c>
      <c r="N10">
        <v>30</v>
      </c>
      <c r="O10">
        <v>2025</v>
      </c>
      <c r="P10">
        <v>1</v>
      </c>
      <c r="Q10" t="s">
        <v>147</v>
      </c>
    </row>
    <row r="11" spans="1:17" x14ac:dyDescent="0.3">
      <c r="A11" t="s">
        <v>159</v>
      </c>
      <c r="B11" s="2">
        <v>45685.529411764699</v>
      </c>
      <c r="C11" t="s">
        <v>71</v>
      </c>
      <c r="D11">
        <v>113</v>
      </c>
      <c r="E11">
        <v>1</v>
      </c>
      <c r="F11">
        <v>0</v>
      </c>
      <c r="G11" t="s">
        <v>149</v>
      </c>
      <c r="H11">
        <v>8</v>
      </c>
      <c r="I11">
        <v>8</v>
      </c>
      <c r="J11">
        <v>0</v>
      </c>
      <c r="K11">
        <v>8</v>
      </c>
      <c r="L11">
        <v>5.2</v>
      </c>
      <c r="M11">
        <v>2.8</v>
      </c>
      <c r="N11">
        <v>35</v>
      </c>
      <c r="O11">
        <v>2025</v>
      </c>
      <c r="P11">
        <v>1</v>
      </c>
      <c r="Q11" t="s">
        <v>147</v>
      </c>
    </row>
    <row r="12" spans="1:17" x14ac:dyDescent="0.3">
      <c r="A12" t="s">
        <v>160</v>
      </c>
      <c r="B12" s="2">
        <v>45688.588235294112</v>
      </c>
      <c r="C12" t="s">
        <v>101</v>
      </c>
      <c r="D12">
        <v>112</v>
      </c>
      <c r="E12">
        <v>2</v>
      </c>
      <c r="F12">
        <v>15</v>
      </c>
      <c r="G12" t="s">
        <v>151</v>
      </c>
      <c r="H12">
        <v>240</v>
      </c>
      <c r="I12">
        <v>480</v>
      </c>
      <c r="J12">
        <v>72</v>
      </c>
      <c r="K12">
        <v>408</v>
      </c>
      <c r="L12">
        <v>285.60000000000002</v>
      </c>
      <c r="M12">
        <v>122.4</v>
      </c>
      <c r="N12">
        <v>30.000000000000011</v>
      </c>
      <c r="O12">
        <v>2025</v>
      </c>
      <c r="P12">
        <v>1</v>
      </c>
      <c r="Q12" t="s">
        <v>147</v>
      </c>
    </row>
    <row r="13" spans="1:17" x14ac:dyDescent="0.3">
      <c r="A13" t="s">
        <v>161</v>
      </c>
      <c r="B13" s="2">
        <v>45691.647058823517</v>
      </c>
      <c r="C13" t="s">
        <v>129</v>
      </c>
      <c r="D13">
        <v>112</v>
      </c>
      <c r="E13">
        <v>4</v>
      </c>
      <c r="F13">
        <v>0</v>
      </c>
      <c r="G13" t="s">
        <v>151</v>
      </c>
      <c r="H13">
        <v>240</v>
      </c>
      <c r="I13">
        <v>960</v>
      </c>
      <c r="J13">
        <v>0</v>
      </c>
      <c r="K13">
        <v>960</v>
      </c>
      <c r="L13">
        <v>672</v>
      </c>
      <c r="M13">
        <v>288</v>
      </c>
      <c r="N13">
        <v>30</v>
      </c>
      <c r="O13">
        <v>2025</v>
      </c>
      <c r="P13">
        <v>2</v>
      </c>
      <c r="Q13" t="s">
        <v>162</v>
      </c>
    </row>
    <row r="14" spans="1:17" x14ac:dyDescent="0.3">
      <c r="A14" t="s">
        <v>163</v>
      </c>
      <c r="B14" s="2">
        <v>45694.705882352937</v>
      </c>
      <c r="C14" t="s">
        <v>115</v>
      </c>
      <c r="D14">
        <v>102</v>
      </c>
      <c r="E14">
        <v>2</v>
      </c>
      <c r="F14">
        <v>0</v>
      </c>
      <c r="G14" t="s">
        <v>149</v>
      </c>
      <c r="H14">
        <v>720</v>
      </c>
      <c r="I14">
        <v>1440</v>
      </c>
      <c r="J14">
        <v>0</v>
      </c>
      <c r="K14">
        <v>1440</v>
      </c>
      <c r="L14">
        <v>1008</v>
      </c>
      <c r="M14">
        <v>432.00000000000011</v>
      </c>
      <c r="N14">
        <v>30.000000000000011</v>
      </c>
      <c r="O14">
        <v>2025</v>
      </c>
      <c r="P14">
        <v>2</v>
      </c>
      <c r="Q14" t="s">
        <v>162</v>
      </c>
    </row>
    <row r="15" spans="1:17" x14ac:dyDescent="0.3">
      <c r="A15" t="s">
        <v>164</v>
      </c>
      <c r="B15" s="2">
        <v>45697.76470588235</v>
      </c>
      <c r="C15" t="s">
        <v>115</v>
      </c>
      <c r="D15">
        <v>112</v>
      </c>
      <c r="E15">
        <v>3</v>
      </c>
      <c r="F15">
        <v>10</v>
      </c>
      <c r="G15" t="s">
        <v>149</v>
      </c>
      <c r="H15">
        <v>240</v>
      </c>
      <c r="I15">
        <v>720</v>
      </c>
      <c r="J15">
        <v>72</v>
      </c>
      <c r="K15">
        <v>648</v>
      </c>
      <c r="L15">
        <v>356.4</v>
      </c>
      <c r="M15">
        <v>291.60000000000002</v>
      </c>
      <c r="N15">
        <v>44.999999999999993</v>
      </c>
      <c r="O15">
        <v>2025</v>
      </c>
      <c r="P15">
        <v>2</v>
      </c>
      <c r="Q15" t="s">
        <v>162</v>
      </c>
    </row>
    <row r="16" spans="1:17" x14ac:dyDescent="0.3">
      <c r="A16" t="s">
        <v>165</v>
      </c>
      <c r="B16" s="2">
        <v>45700.823529411762</v>
      </c>
      <c r="C16" t="s">
        <v>113</v>
      </c>
      <c r="D16">
        <v>116</v>
      </c>
      <c r="E16">
        <v>5</v>
      </c>
      <c r="F16">
        <v>0</v>
      </c>
      <c r="G16" t="s">
        <v>149</v>
      </c>
      <c r="H16">
        <v>9</v>
      </c>
      <c r="I16">
        <v>45</v>
      </c>
      <c r="J16">
        <v>0</v>
      </c>
      <c r="K16">
        <v>45</v>
      </c>
      <c r="L16">
        <v>27</v>
      </c>
      <c r="M16">
        <v>18</v>
      </c>
      <c r="N16">
        <v>40</v>
      </c>
      <c r="O16">
        <v>2025</v>
      </c>
      <c r="P16">
        <v>2</v>
      </c>
      <c r="Q16" t="s">
        <v>162</v>
      </c>
    </row>
    <row r="17" spans="1:19" x14ac:dyDescent="0.3">
      <c r="A17" t="s">
        <v>166</v>
      </c>
      <c r="B17" s="2">
        <v>45703.882352941167</v>
      </c>
      <c r="C17" t="s">
        <v>117</v>
      </c>
      <c r="D17">
        <v>107</v>
      </c>
      <c r="E17">
        <v>2</v>
      </c>
      <c r="F17">
        <v>0</v>
      </c>
      <c r="G17" t="s">
        <v>149</v>
      </c>
      <c r="H17">
        <v>180</v>
      </c>
      <c r="I17">
        <v>360</v>
      </c>
      <c r="J17">
        <v>0</v>
      </c>
      <c r="K17">
        <v>360</v>
      </c>
      <c r="L17">
        <v>252</v>
      </c>
      <c r="M17">
        <v>108</v>
      </c>
      <c r="N17">
        <v>30.000000000000011</v>
      </c>
      <c r="O17">
        <v>2025</v>
      </c>
      <c r="P17">
        <v>2</v>
      </c>
      <c r="Q17" t="s">
        <v>162</v>
      </c>
    </row>
    <row r="18" spans="1:19" x14ac:dyDescent="0.3">
      <c r="A18" t="s">
        <v>167</v>
      </c>
      <c r="B18" s="2">
        <v>45706.94117647058</v>
      </c>
      <c r="C18" t="s">
        <v>101</v>
      </c>
      <c r="D18">
        <v>113</v>
      </c>
      <c r="E18">
        <v>5</v>
      </c>
      <c r="F18">
        <v>0</v>
      </c>
      <c r="G18" t="s">
        <v>149</v>
      </c>
      <c r="H18">
        <v>8</v>
      </c>
      <c r="I18">
        <v>40</v>
      </c>
      <c r="J18">
        <v>0</v>
      </c>
      <c r="K18">
        <v>40</v>
      </c>
      <c r="L18">
        <v>22</v>
      </c>
      <c r="M18">
        <v>18</v>
      </c>
      <c r="N18">
        <v>45</v>
      </c>
      <c r="O18">
        <v>2025</v>
      </c>
      <c r="P18">
        <v>2</v>
      </c>
      <c r="Q18" t="s">
        <v>162</v>
      </c>
    </row>
    <row r="19" spans="1:19" x14ac:dyDescent="0.3">
      <c r="A19" t="s">
        <v>168</v>
      </c>
      <c r="B19" s="2">
        <v>45710</v>
      </c>
      <c r="C19" t="s">
        <v>74</v>
      </c>
      <c r="D19">
        <v>101</v>
      </c>
      <c r="E19">
        <v>1</v>
      </c>
      <c r="F19">
        <v>10</v>
      </c>
      <c r="G19" t="s">
        <v>146</v>
      </c>
      <c r="H19">
        <v>550</v>
      </c>
      <c r="I19">
        <v>550</v>
      </c>
      <c r="J19">
        <v>55</v>
      </c>
      <c r="K19">
        <v>495</v>
      </c>
      <c r="L19">
        <v>272.25</v>
      </c>
      <c r="M19">
        <v>222.75</v>
      </c>
      <c r="N19">
        <v>45</v>
      </c>
      <c r="O19">
        <v>2025</v>
      </c>
      <c r="P19">
        <v>2</v>
      </c>
      <c r="Q19" t="s">
        <v>162</v>
      </c>
    </row>
    <row r="20" spans="1:19" x14ac:dyDescent="0.3">
      <c r="A20" t="s">
        <v>169</v>
      </c>
      <c r="B20" s="2">
        <v>45713.058823529413</v>
      </c>
      <c r="C20" t="s">
        <v>121</v>
      </c>
      <c r="D20">
        <v>107</v>
      </c>
      <c r="E20">
        <v>2</v>
      </c>
      <c r="F20">
        <v>0</v>
      </c>
      <c r="G20" t="s">
        <v>149</v>
      </c>
      <c r="H20">
        <v>180</v>
      </c>
      <c r="I20">
        <v>360</v>
      </c>
      <c r="J20">
        <v>0</v>
      </c>
      <c r="K20">
        <v>360</v>
      </c>
      <c r="L20">
        <v>234</v>
      </c>
      <c r="M20">
        <v>126</v>
      </c>
      <c r="N20">
        <v>35</v>
      </c>
      <c r="O20">
        <v>2025</v>
      </c>
      <c r="P20">
        <v>2</v>
      </c>
      <c r="Q20" t="s">
        <v>162</v>
      </c>
    </row>
    <row r="21" spans="1:19" x14ac:dyDescent="0.3">
      <c r="A21" t="s">
        <v>170</v>
      </c>
      <c r="B21" s="2">
        <v>45716.117647058818</v>
      </c>
      <c r="C21" t="s">
        <v>97</v>
      </c>
      <c r="D21">
        <v>109</v>
      </c>
      <c r="E21">
        <v>5</v>
      </c>
      <c r="F21">
        <v>0</v>
      </c>
      <c r="G21" t="s">
        <v>154</v>
      </c>
      <c r="H21">
        <v>110</v>
      </c>
      <c r="I21">
        <v>550</v>
      </c>
      <c r="J21">
        <v>0</v>
      </c>
      <c r="K21">
        <v>550</v>
      </c>
      <c r="L21">
        <v>385</v>
      </c>
      <c r="M21">
        <v>165</v>
      </c>
      <c r="N21">
        <v>30</v>
      </c>
      <c r="O21">
        <v>2025</v>
      </c>
      <c r="P21">
        <v>2</v>
      </c>
      <c r="Q21" t="s">
        <v>162</v>
      </c>
    </row>
    <row r="22" spans="1:19" x14ac:dyDescent="0.3">
      <c r="A22" t="s">
        <v>171</v>
      </c>
      <c r="B22" s="2">
        <v>45719.176470588231</v>
      </c>
      <c r="C22" t="s">
        <v>101</v>
      </c>
      <c r="D22">
        <v>120</v>
      </c>
      <c r="E22">
        <v>6</v>
      </c>
      <c r="F22">
        <v>10</v>
      </c>
      <c r="G22" t="s">
        <v>154</v>
      </c>
      <c r="H22">
        <v>90</v>
      </c>
      <c r="I22">
        <v>540</v>
      </c>
      <c r="J22">
        <v>54</v>
      </c>
      <c r="K22">
        <v>486</v>
      </c>
      <c r="L22">
        <v>340.2</v>
      </c>
      <c r="M22">
        <v>145.80000000000001</v>
      </c>
      <c r="N22">
        <v>30</v>
      </c>
      <c r="O22">
        <v>2025</v>
      </c>
      <c r="P22">
        <v>3</v>
      </c>
      <c r="Q22" t="s">
        <v>172</v>
      </c>
    </row>
    <row r="23" spans="1:19" x14ac:dyDescent="0.3">
      <c r="A23" t="s">
        <v>173</v>
      </c>
      <c r="B23" s="2">
        <v>45722.235294117643</v>
      </c>
      <c r="C23" t="s">
        <v>93</v>
      </c>
      <c r="D23">
        <v>105</v>
      </c>
      <c r="E23">
        <v>2</v>
      </c>
      <c r="F23">
        <v>15</v>
      </c>
      <c r="G23" t="s">
        <v>151</v>
      </c>
      <c r="H23">
        <v>1200</v>
      </c>
      <c r="I23">
        <v>2400</v>
      </c>
      <c r="J23">
        <v>360</v>
      </c>
      <c r="K23">
        <v>2040</v>
      </c>
      <c r="L23">
        <v>1428</v>
      </c>
      <c r="M23">
        <v>612</v>
      </c>
      <c r="N23">
        <v>30</v>
      </c>
      <c r="O23">
        <v>2025</v>
      </c>
      <c r="P23">
        <v>3</v>
      </c>
      <c r="Q23" t="s">
        <v>172</v>
      </c>
    </row>
    <row r="24" spans="1:19" x14ac:dyDescent="0.3">
      <c r="A24" t="s">
        <v>174</v>
      </c>
      <c r="B24" s="2">
        <v>45725.294117647049</v>
      </c>
      <c r="C24" t="s">
        <v>79</v>
      </c>
      <c r="D24">
        <v>106</v>
      </c>
      <c r="E24">
        <v>3</v>
      </c>
      <c r="F24">
        <v>0</v>
      </c>
      <c r="G24" t="s">
        <v>149</v>
      </c>
      <c r="H24">
        <v>1450</v>
      </c>
      <c r="I24">
        <v>4350</v>
      </c>
      <c r="J24">
        <v>0</v>
      </c>
      <c r="K24">
        <v>4350</v>
      </c>
      <c r="L24">
        <v>2392.5</v>
      </c>
      <c r="M24">
        <v>1957.5</v>
      </c>
      <c r="N24">
        <v>45</v>
      </c>
      <c r="O24">
        <v>2025</v>
      </c>
      <c r="P24">
        <v>3</v>
      </c>
      <c r="Q24" t="s">
        <v>172</v>
      </c>
    </row>
    <row r="25" spans="1:19" x14ac:dyDescent="0.3">
      <c r="A25" t="s">
        <v>175</v>
      </c>
      <c r="B25" s="2">
        <v>45728.352941176468</v>
      </c>
      <c r="C25" t="s">
        <v>125</v>
      </c>
      <c r="D25">
        <v>109</v>
      </c>
      <c r="E25">
        <v>7</v>
      </c>
      <c r="F25">
        <v>0</v>
      </c>
      <c r="G25" t="s">
        <v>151</v>
      </c>
      <c r="H25">
        <v>110</v>
      </c>
      <c r="I25">
        <v>770</v>
      </c>
      <c r="J25">
        <v>0</v>
      </c>
      <c r="K25">
        <v>770</v>
      </c>
      <c r="L25">
        <v>539</v>
      </c>
      <c r="M25">
        <v>231</v>
      </c>
      <c r="N25">
        <v>30</v>
      </c>
      <c r="O25">
        <v>2025</v>
      </c>
      <c r="P25">
        <v>3</v>
      </c>
      <c r="Q25" t="s">
        <v>172</v>
      </c>
    </row>
    <row r="26" spans="1:19" x14ac:dyDescent="0.3">
      <c r="A26" t="s">
        <v>176</v>
      </c>
      <c r="B26" s="2">
        <v>45731.411764705881</v>
      </c>
      <c r="C26" t="s">
        <v>117</v>
      </c>
      <c r="D26">
        <v>120</v>
      </c>
      <c r="E26">
        <v>7</v>
      </c>
      <c r="F26">
        <v>0</v>
      </c>
      <c r="G26" t="s">
        <v>146</v>
      </c>
      <c r="H26">
        <v>90</v>
      </c>
      <c r="I26">
        <v>630</v>
      </c>
      <c r="J26">
        <v>0</v>
      </c>
      <c r="K26">
        <v>630</v>
      </c>
      <c r="L26">
        <v>441</v>
      </c>
      <c r="M26">
        <v>189</v>
      </c>
      <c r="N26">
        <v>30</v>
      </c>
      <c r="O26">
        <v>2025</v>
      </c>
      <c r="P26">
        <v>3</v>
      </c>
      <c r="Q26" t="s">
        <v>172</v>
      </c>
    </row>
    <row r="27" spans="1:19" x14ac:dyDescent="0.3">
      <c r="A27" t="s">
        <v>177</v>
      </c>
      <c r="B27" s="2">
        <v>45734.470588235286</v>
      </c>
      <c r="C27" t="s">
        <v>109</v>
      </c>
      <c r="D27">
        <v>118</v>
      </c>
      <c r="E27">
        <v>5</v>
      </c>
      <c r="F27">
        <v>0</v>
      </c>
      <c r="G27" t="s">
        <v>146</v>
      </c>
      <c r="H27">
        <v>55</v>
      </c>
      <c r="I27">
        <v>275</v>
      </c>
      <c r="J27">
        <v>0</v>
      </c>
      <c r="K27">
        <v>275</v>
      </c>
      <c r="L27">
        <v>178.75</v>
      </c>
      <c r="M27">
        <v>96.25</v>
      </c>
      <c r="N27">
        <v>35</v>
      </c>
      <c r="O27">
        <v>2025</v>
      </c>
      <c r="P27">
        <v>3</v>
      </c>
      <c r="Q27" t="s">
        <v>172</v>
      </c>
      <c r="S27">
        <v>135274.20000000001</v>
      </c>
    </row>
    <row r="28" spans="1:19" x14ac:dyDescent="0.3">
      <c r="A28" t="s">
        <v>178</v>
      </c>
      <c r="B28" s="2">
        <v>45737.529411764699</v>
      </c>
      <c r="C28" t="s">
        <v>95</v>
      </c>
      <c r="D28">
        <v>101</v>
      </c>
      <c r="E28">
        <v>4</v>
      </c>
      <c r="F28">
        <v>0</v>
      </c>
      <c r="G28" t="s">
        <v>146</v>
      </c>
      <c r="H28">
        <v>550</v>
      </c>
      <c r="I28">
        <v>2200</v>
      </c>
      <c r="J28">
        <v>0</v>
      </c>
      <c r="K28">
        <v>2200</v>
      </c>
      <c r="L28">
        <v>1540</v>
      </c>
      <c r="M28">
        <v>660</v>
      </c>
      <c r="N28">
        <v>30</v>
      </c>
      <c r="O28">
        <v>2025</v>
      </c>
      <c r="P28">
        <v>3</v>
      </c>
      <c r="Q28" t="s">
        <v>172</v>
      </c>
    </row>
    <row r="29" spans="1:19" x14ac:dyDescent="0.3">
      <c r="A29" t="s">
        <v>179</v>
      </c>
      <c r="B29" s="2">
        <v>45740.588235294112</v>
      </c>
      <c r="C29" t="s">
        <v>119</v>
      </c>
      <c r="D29">
        <v>105</v>
      </c>
      <c r="E29">
        <v>3</v>
      </c>
      <c r="F29">
        <v>5</v>
      </c>
      <c r="G29" t="s">
        <v>151</v>
      </c>
      <c r="H29">
        <v>1200</v>
      </c>
      <c r="I29">
        <v>3600</v>
      </c>
      <c r="J29">
        <v>180</v>
      </c>
      <c r="K29">
        <v>3420</v>
      </c>
      <c r="L29">
        <v>2394</v>
      </c>
      <c r="M29">
        <v>1026</v>
      </c>
      <c r="N29">
        <v>30</v>
      </c>
      <c r="O29">
        <v>2025</v>
      </c>
      <c r="P29">
        <v>3</v>
      </c>
      <c r="Q29" t="s">
        <v>172</v>
      </c>
    </row>
    <row r="30" spans="1:19" x14ac:dyDescent="0.3">
      <c r="A30" t="s">
        <v>180</v>
      </c>
      <c r="B30" s="2">
        <v>45743.647058823517</v>
      </c>
      <c r="C30" t="s">
        <v>103</v>
      </c>
      <c r="D30">
        <v>117</v>
      </c>
      <c r="E30">
        <v>5</v>
      </c>
      <c r="F30">
        <v>0</v>
      </c>
      <c r="G30" t="s">
        <v>151</v>
      </c>
      <c r="H30">
        <v>35</v>
      </c>
      <c r="I30">
        <v>175</v>
      </c>
      <c r="J30">
        <v>0</v>
      </c>
      <c r="K30">
        <v>175</v>
      </c>
      <c r="L30">
        <v>105</v>
      </c>
      <c r="M30">
        <v>70</v>
      </c>
      <c r="N30">
        <v>40</v>
      </c>
      <c r="O30">
        <v>2025</v>
      </c>
      <c r="P30">
        <v>3</v>
      </c>
      <c r="Q30" t="s">
        <v>172</v>
      </c>
    </row>
    <row r="31" spans="1:19" x14ac:dyDescent="0.3">
      <c r="A31" t="s">
        <v>181</v>
      </c>
      <c r="B31" s="2">
        <v>45746.705882352937</v>
      </c>
      <c r="C31" t="s">
        <v>97</v>
      </c>
      <c r="D31">
        <v>102</v>
      </c>
      <c r="E31">
        <v>5</v>
      </c>
      <c r="F31">
        <v>0</v>
      </c>
      <c r="G31" t="s">
        <v>149</v>
      </c>
      <c r="H31">
        <v>720</v>
      </c>
      <c r="I31">
        <v>3600</v>
      </c>
      <c r="J31">
        <v>0</v>
      </c>
      <c r="K31">
        <v>3600</v>
      </c>
      <c r="L31">
        <v>1980</v>
      </c>
      <c r="M31">
        <v>1620</v>
      </c>
      <c r="N31">
        <v>44.999999999999993</v>
      </c>
      <c r="O31">
        <v>2025</v>
      </c>
      <c r="P31">
        <v>3</v>
      </c>
      <c r="Q31" t="s">
        <v>172</v>
      </c>
    </row>
    <row r="32" spans="1:19" x14ac:dyDescent="0.3">
      <c r="A32" t="s">
        <v>182</v>
      </c>
      <c r="B32" s="2">
        <v>45749.76470588235</v>
      </c>
      <c r="C32" t="s">
        <v>97</v>
      </c>
      <c r="D32">
        <v>118</v>
      </c>
      <c r="E32">
        <v>3</v>
      </c>
      <c r="F32">
        <v>5</v>
      </c>
      <c r="G32" t="s">
        <v>146</v>
      </c>
      <c r="H32">
        <v>55</v>
      </c>
      <c r="I32">
        <v>165</v>
      </c>
      <c r="J32">
        <v>8.25</v>
      </c>
      <c r="K32">
        <v>156.75</v>
      </c>
      <c r="L32">
        <v>94.05</v>
      </c>
      <c r="M32">
        <v>62.7</v>
      </c>
      <c r="N32">
        <v>40</v>
      </c>
      <c r="O32">
        <v>2025</v>
      </c>
      <c r="P32">
        <v>4</v>
      </c>
      <c r="Q32" t="s">
        <v>183</v>
      </c>
    </row>
    <row r="33" spans="1:17" x14ac:dyDescent="0.3">
      <c r="A33" t="s">
        <v>184</v>
      </c>
      <c r="B33" s="2">
        <v>45752.823529411762</v>
      </c>
      <c r="C33" t="s">
        <v>81</v>
      </c>
      <c r="D33">
        <v>106</v>
      </c>
      <c r="E33">
        <v>1</v>
      </c>
      <c r="F33">
        <v>0</v>
      </c>
      <c r="G33" t="s">
        <v>149</v>
      </c>
      <c r="H33">
        <v>1450</v>
      </c>
      <c r="I33">
        <v>1450</v>
      </c>
      <c r="J33">
        <v>0</v>
      </c>
      <c r="K33">
        <v>1450</v>
      </c>
      <c r="L33">
        <v>797.50000000000011</v>
      </c>
      <c r="M33">
        <v>652.49999999999989</v>
      </c>
      <c r="N33">
        <v>44.999999999999993</v>
      </c>
      <c r="O33">
        <v>2025</v>
      </c>
      <c r="P33">
        <v>4</v>
      </c>
      <c r="Q33" t="s">
        <v>183</v>
      </c>
    </row>
    <row r="34" spans="1:17" x14ac:dyDescent="0.3">
      <c r="A34" t="s">
        <v>185</v>
      </c>
      <c r="B34" s="2">
        <v>45755.882352941167</v>
      </c>
      <c r="C34" t="s">
        <v>71</v>
      </c>
      <c r="D34">
        <v>119</v>
      </c>
      <c r="E34">
        <v>2</v>
      </c>
      <c r="F34">
        <v>0</v>
      </c>
      <c r="G34" t="s">
        <v>146</v>
      </c>
      <c r="H34">
        <v>45</v>
      </c>
      <c r="I34">
        <v>90</v>
      </c>
      <c r="J34">
        <v>0</v>
      </c>
      <c r="K34">
        <v>90</v>
      </c>
      <c r="L34">
        <v>49.500000000000007</v>
      </c>
      <c r="M34">
        <v>40.499999999999993</v>
      </c>
      <c r="N34">
        <v>44.999999999999993</v>
      </c>
      <c r="O34">
        <v>2025</v>
      </c>
      <c r="P34">
        <v>4</v>
      </c>
      <c r="Q34" t="s">
        <v>183</v>
      </c>
    </row>
    <row r="35" spans="1:17" x14ac:dyDescent="0.3">
      <c r="A35" t="s">
        <v>186</v>
      </c>
      <c r="B35" s="2">
        <v>45758.94117647058</v>
      </c>
      <c r="C35" t="s">
        <v>103</v>
      </c>
      <c r="D35">
        <v>106</v>
      </c>
      <c r="E35">
        <v>7</v>
      </c>
      <c r="F35">
        <v>10</v>
      </c>
      <c r="G35" t="s">
        <v>154</v>
      </c>
      <c r="H35">
        <v>1450</v>
      </c>
      <c r="I35">
        <v>10150</v>
      </c>
      <c r="J35">
        <v>1015</v>
      </c>
      <c r="K35">
        <v>9135</v>
      </c>
      <c r="L35">
        <v>5024.25</v>
      </c>
      <c r="M35">
        <v>4110.75</v>
      </c>
      <c r="N35">
        <v>45</v>
      </c>
      <c r="O35">
        <v>2025</v>
      </c>
      <c r="P35">
        <v>4</v>
      </c>
      <c r="Q35" t="s">
        <v>183</v>
      </c>
    </row>
    <row r="36" spans="1:17" x14ac:dyDescent="0.3">
      <c r="A36" t="s">
        <v>187</v>
      </c>
      <c r="B36" s="2">
        <v>45762</v>
      </c>
      <c r="C36" t="s">
        <v>123</v>
      </c>
      <c r="D36">
        <v>109</v>
      </c>
      <c r="E36">
        <v>3</v>
      </c>
      <c r="F36">
        <v>5</v>
      </c>
      <c r="G36" t="s">
        <v>149</v>
      </c>
      <c r="H36">
        <v>110</v>
      </c>
      <c r="I36">
        <v>330</v>
      </c>
      <c r="J36">
        <v>16.5</v>
      </c>
      <c r="K36">
        <v>313.5</v>
      </c>
      <c r="L36">
        <v>203.77500000000001</v>
      </c>
      <c r="M36">
        <v>109.72499999999999</v>
      </c>
      <c r="N36">
        <v>35</v>
      </c>
      <c r="O36">
        <v>2025</v>
      </c>
      <c r="P36">
        <v>4</v>
      </c>
      <c r="Q36" t="s">
        <v>183</v>
      </c>
    </row>
    <row r="37" spans="1:17" x14ac:dyDescent="0.3">
      <c r="A37" t="s">
        <v>188</v>
      </c>
      <c r="B37" s="2">
        <v>45765.058823529413</v>
      </c>
      <c r="C37" t="s">
        <v>67</v>
      </c>
      <c r="D37">
        <v>114</v>
      </c>
      <c r="E37">
        <v>4</v>
      </c>
      <c r="F37">
        <v>5</v>
      </c>
      <c r="G37" t="s">
        <v>151</v>
      </c>
      <c r="H37">
        <v>12</v>
      </c>
      <c r="I37">
        <v>48</v>
      </c>
      <c r="J37">
        <v>2.4</v>
      </c>
      <c r="K37">
        <v>45.6</v>
      </c>
      <c r="L37">
        <v>29.64</v>
      </c>
      <c r="M37">
        <v>15.96</v>
      </c>
      <c r="N37">
        <v>35</v>
      </c>
      <c r="O37">
        <v>2025</v>
      </c>
      <c r="P37">
        <v>4</v>
      </c>
      <c r="Q37" t="s">
        <v>183</v>
      </c>
    </row>
    <row r="38" spans="1:17" x14ac:dyDescent="0.3">
      <c r="A38" t="s">
        <v>189</v>
      </c>
      <c r="B38" s="2">
        <v>45768.117647058818</v>
      </c>
      <c r="C38" t="s">
        <v>121</v>
      </c>
      <c r="D38">
        <v>103</v>
      </c>
      <c r="E38">
        <v>4</v>
      </c>
      <c r="F38">
        <v>0</v>
      </c>
      <c r="G38" t="s">
        <v>149</v>
      </c>
      <c r="H38">
        <v>280</v>
      </c>
      <c r="I38">
        <v>1120</v>
      </c>
      <c r="J38">
        <v>0</v>
      </c>
      <c r="K38">
        <v>1120</v>
      </c>
      <c r="L38">
        <v>728</v>
      </c>
      <c r="M38">
        <v>392</v>
      </c>
      <c r="N38">
        <v>35</v>
      </c>
      <c r="O38">
        <v>2025</v>
      </c>
      <c r="P38">
        <v>4</v>
      </c>
      <c r="Q38" t="s">
        <v>183</v>
      </c>
    </row>
    <row r="39" spans="1:17" x14ac:dyDescent="0.3">
      <c r="A39" t="s">
        <v>190</v>
      </c>
      <c r="B39" s="2">
        <v>45771.176470588231</v>
      </c>
      <c r="C39" t="s">
        <v>119</v>
      </c>
      <c r="D39">
        <v>112</v>
      </c>
      <c r="E39">
        <v>6</v>
      </c>
      <c r="F39">
        <v>0</v>
      </c>
      <c r="G39" t="s">
        <v>146</v>
      </c>
      <c r="H39">
        <v>240</v>
      </c>
      <c r="I39">
        <v>1440</v>
      </c>
      <c r="J39">
        <v>0</v>
      </c>
      <c r="K39">
        <v>1440</v>
      </c>
      <c r="L39">
        <v>936</v>
      </c>
      <c r="M39">
        <v>504</v>
      </c>
      <c r="N39">
        <v>35</v>
      </c>
      <c r="O39">
        <v>2025</v>
      </c>
      <c r="P39">
        <v>4</v>
      </c>
      <c r="Q39" t="s">
        <v>183</v>
      </c>
    </row>
    <row r="40" spans="1:17" x14ac:dyDescent="0.3">
      <c r="A40" t="s">
        <v>191</v>
      </c>
      <c r="B40" s="2">
        <v>45774.235294117643</v>
      </c>
      <c r="C40" t="s">
        <v>85</v>
      </c>
      <c r="D40">
        <v>111</v>
      </c>
      <c r="E40">
        <v>1</v>
      </c>
      <c r="F40">
        <v>15</v>
      </c>
      <c r="G40" t="s">
        <v>149</v>
      </c>
      <c r="H40">
        <v>650</v>
      </c>
      <c r="I40">
        <v>650</v>
      </c>
      <c r="J40">
        <v>97.5</v>
      </c>
      <c r="K40">
        <v>552.5</v>
      </c>
      <c r="L40">
        <v>359.125</v>
      </c>
      <c r="M40">
        <v>193.375</v>
      </c>
      <c r="N40">
        <v>35</v>
      </c>
      <c r="O40">
        <v>2025</v>
      </c>
      <c r="P40">
        <v>4</v>
      </c>
      <c r="Q40" t="s">
        <v>183</v>
      </c>
    </row>
    <row r="41" spans="1:17" x14ac:dyDescent="0.3">
      <c r="A41" t="s">
        <v>192</v>
      </c>
      <c r="B41" s="2">
        <v>45777.294117647049</v>
      </c>
      <c r="C41" t="s">
        <v>107</v>
      </c>
      <c r="D41">
        <v>116</v>
      </c>
      <c r="E41">
        <v>1</v>
      </c>
      <c r="F41">
        <v>0</v>
      </c>
      <c r="G41" t="s">
        <v>154</v>
      </c>
      <c r="H41">
        <v>9</v>
      </c>
      <c r="I41">
        <v>9</v>
      </c>
      <c r="J41">
        <v>0</v>
      </c>
      <c r="K41">
        <v>9</v>
      </c>
      <c r="L41">
        <v>5.8500000000000014</v>
      </c>
      <c r="M41">
        <v>3.149999999999999</v>
      </c>
      <c r="N41">
        <v>34.999999999999993</v>
      </c>
      <c r="O41">
        <v>2025</v>
      </c>
      <c r="P41">
        <v>4</v>
      </c>
      <c r="Q41" t="s">
        <v>183</v>
      </c>
    </row>
    <row r="42" spans="1:17" x14ac:dyDescent="0.3">
      <c r="A42" t="s">
        <v>193</v>
      </c>
      <c r="B42" s="2">
        <v>45780.352941176468</v>
      </c>
      <c r="C42" t="s">
        <v>76</v>
      </c>
      <c r="D42">
        <v>120</v>
      </c>
      <c r="E42">
        <v>2</v>
      </c>
      <c r="F42">
        <v>0</v>
      </c>
      <c r="G42" t="s">
        <v>149</v>
      </c>
      <c r="H42">
        <v>90</v>
      </c>
      <c r="I42">
        <v>180</v>
      </c>
      <c r="J42">
        <v>0</v>
      </c>
      <c r="K42">
        <v>180</v>
      </c>
      <c r="L42">
        <v>99.000000000000014</v>
      </c>
      <c r="M42">
        <v>80.999999999999986</v>
      </c>
      <c r="N42">
        <v>44.999999999999993</v>
      </c>
      <c r="O42">
        <v>2025</v>
      </c>
      <c r="P42">
        <v>5</v>
      </c>
      <c r="Q42" t="s">
        <v>194</v>
      </c>
    </row>
    <row r="43" spans="1:17" x14ac:dyDescent="0.3">
      <c r="A43" t="s">
        <v>195</v>
      </c>
      <c r="B43" s="2">
        <v>45783.411764705881</v>
      </c>
      <c r="C43" t="s">
        <v>115</v>
      </c>
      <c r="D43">
        <v>114</v>
      </c>
      <c r="E43">
        <v>4</v>
      </c>
      <c r="F43">
        <v>0</v>
      </c>
      <c r="G43" t="s">
        <v>154</v>
      </c>
      <c r="H43">
        <v>12</v>
      </c>
      <c r="I43">
        <v>48</v>
      </c>
      <c r="J43">
        <v>0</v>
      </c>
      <c r="K43">
        <v>48</v>
      </c>
      <c r="L43">
        <v>33.599999999999987</v>
      </c>
      <c r="M43">
        <v>14.400000000000009</v>
      </c>
      <c r="N43">
        <v>30.000000000000011</v>
      </c>
      <c r="O43">
        <v>2025</v>
      </c>
      <c r="P43">
        <v>5</v>
      </c>
      <c r="Q43" t="s">
        <v>194</v>
      </c>
    </row>
    <row r="44" spans="1:17" x14ac:dyDescent="0.3">
      <c r="A44" t="s">
        <v>196</v>
      </c>
      <c r="B44" s="2">
        <v>45786.470588235286</v>
      </c>
      <c r="C44" t="s">
        <v>113</v>
      </c>
      <c r="D44">
        <v>109</v>
      </c>
      <c r="E44">
        <v>5</v>
      </c>
      <c r="F44">
        <v>5</v>
      </c>
      <c r="G44" t="s">
        <v>146</v>
      </c>
      <c r="H44">
        <v>110</v>
      </c>
      <c r="I44">
        <v>550</v>
      </c>
      <c r="J44">
        <v>27.5</v>
      </c>
      <c r="K44">
        <v>522.5</v>
      </c>
      <c r="L44">
        <v>313.5</v>
      </c>
      <c r="M44">
        <v>209</v>
      </c>
      <c r="N44">
        <v>40</v>
      </c>
      <c r="O44">
        <v>2025</v>
      </c>
      <c r="P44">
        <v>5</v>
      </c>
      <c r="Q44" t="s">
        <v>194</v>
      </c>
    </row>
    <row r="45" spans="1:17" x14ac:dyDescent="0.3">
      <c r="A45" t="s">
        <v>197</v>
      </c>
      <c r="B45" s="2">
        <v>45789.529411764699</v>
      </c>
      <c r="C45" t="s">
        <v>91</v>
      </c>
      <c r="D45">
        <v>109</v>
      </c>
      <c r="E45">
        <v>4</v>
      </c>
      <c r="F45">
        <v>15</v>
      </c>
      <c r="G45" t="s">
        <v>151</v>
      </c>
      <c r="H45">
        <v>110</v>
      </c>
      <c r="I45">
        <v>440</v>
      </c>
      <c r="J45">
        <v>66</v>
      </c>
      <c r="K45">
        <v>374</v>
      </c>
      <c r="L45">
        <v>205.7</v>
      </c>
      <c r="M45">
        <v>168.3</v>
      </c>
      <c r="N45">
        <v>44.999999999999993</v>
      </c>
      <c r="O45">
        <v>2025</v>
      </c>
      <c r="P45">
        <v>5</v>
      </c>
      <c r="Q45" t="s">
        <v>194</v>
      </c>
    </row>
    <row r="46" spans="1:17" x14ac:dyDescent="0.3">
      <c r="A46" t="s">
        <v>198</v>
      </c>
      <c r="B46" s="2">
        <v>45792.588235294112</v>
      </c>
      <c r="C46" t="s">
        <v>71</v>
      </c>
      <c r="D46">
        <v>109</v>
      </c>
      <c r="E46">
        <v>4</v>
      </c>
      <c r="F46">
        <v>0</v>
      </c>
      <c r="G46" t="s">
        <v>146</v>
      </c>
      <c r="H46">
        <v>110</v>
      </c>
      <c r="I46">
        <v>440</v>
      </c>
      <c r="J46">
        <v>0</v>
      </c>
      <c r="K46">
        <v>440</v>
      </c>
      <c r="L46">
        <v>308</v>
      </c>
      <c r="M46">
        <v>132</v>
      </c>
      <c r="N46">
        <v>30</v>
      </c>
      <c r="O46">
        <v>2025</v>
      </c>
      <c r="P46">
        <v>5</v>
      </c>
      <c r="Q46" t="s">
        <v>194</v>
      </c>
    </row>
    <row r="47" spans="1:17" x14ac:dyDescent="0.3">
      <c r="A47" t="s">
        <v>199</v>
      </c>
      <c r="B47" s="2">
        <v>45795.647058823517</v>
      </c>
      <c r="C47" t="s">
        <v>129</v>
      </c>
      <c r="D47">
        <v>117</v>
      </c>
      <c r="E47">
        <v>7</v>
      </c>
      <c r="F47">
        <v>15</v>
      </c>
      <c r="G47" t="s">
        <v>146</v>
      </c>
      <c r="H47">
        <v>35</v>
      </c>
      <c r="I47">
        <v>245</v>
      </c>
      <c r="J47">
        <v>36.75</v>
      </c>
      <c r="K47">
        <v>208.25</v>
      </c>
      <c r="L47">
        <v>135.36250000000001</v>
      </c>
      <c r="M47">
        <v>72.887499999999989</v>
      </c>
      <c r="N47">
        <v>34.999999999999993</v>
      </c>
      <c r="O47">
        <v>2025</v>
      </c>
      <c r="P47">
        <v>5</v>
      </c>
      <c r="Q47" t="s">
        <v>194</v>
      </c>
    </row>
    <row r="48" spans="1:17" x14ac:dyDescent="0.3">
      <c r="A48" t="s">
        <v>200</v>
      </c>
      <c r="B48" s="2">
        <v>45798.705882352937</v>
      </c>
      <c r="C48" t="s">
        <v>97</v>
      </c>
      <c r="D48">
        <v>107</v>
      </c>
      <c r="E48">
        <v>2</v>
      </c>
      <c r="F48">
        <v>0</v>
      </c>
      <c r="G48" t="s">
        <v>154</v>
      </c>
      <c r="H48">
        <v>180</v>
      </c>
      <c r="I48">
        <v>360</v>
      </c>
      <c r="J48">
        <v>0</v>
      </c>
      <c r="K48">
        <v>360</v>
      </c>
      <c r="L48">
        <v>198</v>
      </c>
      <c r="M48">
        <v>162</v>
      </c>
      <c r="N48">
        <v>44.999999999999993</v>
      </c>
      <c r="O48">
        <v>2025</v>
      </c>
      <c r="P48">
        <v>5</v>
      </c>
      <c r="Q48" t="s">
        <v>194</v>
      </c>
    </row>
    <row r="49" spans="1:17" x14ac:dyDescent="0.3">
      <c r="A49" t="s">
        <v>201</v>
      </c>
      <c r="B49" s="2">
        <v>45801.76470588235</v>
      </c>
      <c r="C49" t="s">
        <v>123</v>
      </c>
      <c r="D49">
        <v>104</v>
      </c>
      <c r="E49">
        <v>5</v>
      </c>
      <c r="F49">
        <v>0</v>
      </c>
      <c r="G49" t="s">
        <v>149</v>
      </c>
      <c r="H49">
        <v>850</v>
      </c>
      <c r="I49">
        <v>4250</v>
      </c>
      <c r="J49">
        <v>0</v>
      </c>
      <c r="K49">
        <v>4250</v>
      </c>
      <c r="L49">
        <v>2337.5</v>
      </c>
      <c r="M49">
        <v>1912.5</v>
      </c>
      <c r="N49">
        <v>45</v>
      </c>
      <c r="O49">
        <v>2025</v>
      </c>
      <c r="P49">
        <v>5</v>
      </c>
      <c r="Q49" t="s">
        <v>194</v>
      </c>
    </row>
    <row r="50" spans="1:17" x14ac:dyDescent="0.3">
      <c r="A50" t="s">
        <v>202</v>
      </c>
      <c r="B50" s="2">
        <v>45804.823529411762</v>
      </c>
      <c r="C50" t="s">
        <v>111</v>
      </c>
      <c r="D50">
        <v>107</v>
      </c>
      <c r="E50">
        <v>4</v>
      </c>
      <c r="F50">
        <v>5</v>
      </c>
      <c r="G50" t="s">
        <v>151</v>
      </c>
      <c r="H50">
        <v>180</v>
      </c>
      <c r="I50">
        <v>720</v>
      </c>
      <c r="J50">
        <v>36</v>
      </c>
      <c r="K50">
        <v>684</v>
      </c>
      <c r="L50">
        <v>376.2</v>
      </c>
      <c r="M50">
        <v>307.8</v>
      </c>
      <c r="N50">
        <v>44.999999999999993</v>
      </c>
      <c r="O50">
        <v>2025</v>
      </c>
      <c r="P50">
        <v>5</v>
      </c>
      <c r="Q50" t="s">
        <v>194</v>
      </c>
    </row>
    <row r="51" spans="1:17" x14ac:dyDescent="0.3">
      <c r="A51" t="s">
        <v>203</v>
      </c>
      <c r="B51" s="2">
        <v>45807.882352941167</v>
      </c>
      <c r="C51" t="s">
        <v>117</v>
      </c>
      <c r="D51">
        <v>101</v>
      </c>
      <c r="E51">
        <v>4</v>
      </c>
      <c r="F51">
        <v>0</v>
      </c>
      <c r="G51" t="s">
        <v>149</v>
      </c>
      <c r="H51">
        <v>550</v>
      </c>
      <c r="I51">
        <v>2200</v>
      </c>
      <c r="J51">
        <v>0</v>
      </c>
      <c r="K51">
        <v>2200</v>
      </c>
      <c r="L51">
        <v>1320</v>
      </c>
      <c r="M51">
        <v>880</v>
      </c>
      <c r="N51">
        <v>40</v>
      </c>
      <c r="O51">
        <v>2025</v>
      </c>
      <c r="P51">
        <v>5</v>
      </c>
      <c r="Q51" t="s">
        <v>194</v>
      </c>
    </row>
    <row r="52" spans="1:17" x14ac:dyDescent="0.3">
      <c r="A52" t="s">
        <v>204</v>
      </c>
      <c r="B52" s="2">
        <v>45810.94117647058</v>
      </c>
      <c r="C52" t="s">
        <v>115</v>
      </c>
      <c r="D52">
        <v>103</v>
      </c>
      <c r="E52">
        <v>6</v>
      </c>
      <c r="F52">
        <v>0</v>
      </c>
      <c r="G52" t="s">
        <v>151</v>
      </c>
      <c r="H52">
        <v>280</v>
      </c>
      <c r="I52">
        <v>1680</v>
      </c>
      <c r="J52">
        <v>0</v>
      </c>
      <c r="K52">
        <v>1680</v>
      </c>
      <c r="L52">
        <v>924.00000000000011</v>
      </c>
      <c r="M52">
        <v>755.99999999999989</v>
      </c>
      <c r="N52">
        <v>44.999999999999993</v>
      </c>
      <c r="O52">
        <v>2025</v>
      </c>
      <c r="P52">
        <v>6</v>
      </c>
      <c r="Q52" t="s">
        <v>205</v>
      </c>
    </row>
    <row r="53" spans="1:17" x14ac:dyDescent="0.3">
      <c r="A53" t="s">
        <v>206</v>
      </c>
      <c r="B53" s="2">
        <v>45814</v>
      </c>
      <c r="C53" t="s">
        <v>79</v>
      </c>
      <c r="D53">
        <v>102</v>
      </c>
      <c r="E53">
        <v>2</v>
      </c>
      <c r="F53">
        <v>0</v>
      </c>
      <c r="G53" t="s">
        <v>149</v>
      </c>
      <c r="H53">
        <v>720</v>
      </c>
      <c r="I53">
        <v>1440</v>
      </c>
      <c r="J53">
        <v>0</v>
      </c>
      <c r="K53">
        <v>1440</v>
      </c>
      <c r="L53">
        <v>936</v>
      </c>
      <c r="M53">
        <v>504</v>
      </c>
      <c r="N53">
        <v>35</v>
      </c>
      <c r="O53">
        <v>2025</v>
      </c>
      <c r="P53">
        <v>6</v>
      </c>
      <c r="Q53" t="s">
        <v>205</v>
      </c>
    </row>
    <row r="54" spans="1:17" x14ac:dyDescent="0.3">
      <c r="A54" t="s">
        <v>207</v>
      </c>
      <c r="B54" s="2">
        <v>45817.058823529413</v>
      </c>
      <c r="C54" t="s">
        <v>91</v>
      </c>
      <c r="D54">
        <v>116</v>
      </c>
      <c r="E54">
        <v>7</v>
      </c>
      <c r="F54">
        <v>15</v>
      </c>
      <c r="G54" t="s">
        <v>151</v>
      </c>
      <c r="H54">
        <v>9</v>
      </c>
      <c r="I54">
        <v>63</v>
      </c>
      <c r="J54">
        <v>9.4499999999999993</v>
      </c>
      <c r="K54">
        <v>53.55</v>
      </c>
      <c r="L54">
        <v>34.807499999999997</v>
      </c>
      <c r="M54">
        <v>18.7425</v>
      </c>
      <c r="N54">
        <v>35</v>
      </c>
      <c r="O54">
        <v>2025</v>
      </c>
      <c r="P54">
        <v>6</v>
      </c>
      <c r="Q54" t="s">
        <v>205</v>
      </c>
    </row>
    <row r="55" spans="1:17" x14ac:dyDescent="0.3">
      <c r="A55" t="s">
        <v>208</v>
      </c>
      <c r="B55" s="2">
        <v>45820.117647058818</v>
      </c>
      <c r="C55" t="s">
        <v>99</v>
      </c>
      <c r="D55">
        <v>115</v>
      </c>
      <c r="E55">
        <v>3</v>
      </c>
      <c r="F55">
        <v>0</v>
      </c>
      <c r="G55" t="s">
        <v>151</v>
      </c>
      <c r="H55">
        <v>5</v>
      </c>
      <c r="I55">
        <v>15</v>
      </c>
      <c r="J55">
        <v>0</v>
      </c>
      <c r="K55">
        <v>15</v>
      </c>
      <c r="L55">
        <v>10.5</v>
      </c>
      <c r="M55">
        <v>4.5</v>
      </c>
      <c r="N55">
        <v>30</v>
      </c>
      <c r="O55">
        <v>2025</v>
      </c>
      <c r="P55">
        <v>6</v>
      </c>
      <c r="Q55" t="s">
        <v>205</v>
      </c>
    </row>
    <row r="56" spans="1:17" x14ac:dyDescent="0.3">
      <c r="A56" t="s">
        <v>209</v>
      </c>
      <c r="B56" s="2">
        <v>45823.176470588231</v>
      </c>
      <c r="C56" t="s">
        <v>99</v>
      </c>
      <c r="D56">
        <v>114</v>
      </c>
      <c r="E56">
        <v>4</v>
      </c>
      <c r="F56">
        <v>15</v>
      </c>
      <c r="G56" t="s">
        <v>151</v>
      </c>
      <c r="H56">
        <v>12</v>
      </c>
      <c r="I56">
        <v>48</v>
      </c>
      <c r="J56">
        <v>7.2</v>
      </c>
      <c r="K56">
        <v>40.799999999999997</v>
      </c>
      <c r="L56">
        <v>26.52</v>
      </c>
      <c r="M56">
        <v>14.28</v>
      </c>
      <c r="N56">
        <v>35</v>
      </c>
      <c r="O56">
        <v>2025</v>
      </c>
      <c r="P56">
        <v>6</v>
      </c>
      <c r="Q56" t="s">
        <v>205</v>
      </c>
    </row>
    <row r="57" spans="1:17" x14ac:dyDescent="0.3">
      <c r="A57" t="s">
        <v>210</v>
      </c>
      <c r="B57" s="2">
        <v>45826.235294117643</v>
      </c>
      <c r="C57" t="s">
        <v>67</v>
      </c>
      <c r="D57">
        <v>110</v>
      </c>
      <c r="E57">
        <v>4</v>
      </c>
      <c r="F57">
        <v>10</v>
      </c>
      <c r="G57" t="s">
        <v>151</v>
      </c>
      <c r="H57">
        <v>320</v>
      </c>
      <c r="I57">
        <v>1280</v>
      </c>
      <c r="J57">
        <v>128</v>
      </c>
      <c r="K57">
        <v>1152</v>
      </c>
      <c r="L57">
        <v>748.80000000000007</v>
      </c>
      <c r="M57">
        <v>403.19999999999987</v>
      </c>
      <c r="N57">
        <v>34.999999999999993</v>
      </c>
      <c r="O57">
        <v>2025</v>
      </c>
      <c r="P57">
        <v>6</v>
      </c>
      <c r="Q57" t="s">
        <v>205</v>
      </c>
    </row>
    <row r="58" spans="1:17" x14ac:dyDescent="0.3">
      <c r="A58" t="s">
        <v>211</v>
      </c>
      <c r="B58" s="2">
        <v>45829.294117647049</v>
      </c>
      <c r="C58" t="s">
        <v>103</v>
      </c>
      <c r="D58">
        <v>115</v>
      </c>
      <c r="E58">
        <v>6</v>
      </c>
      <c r="F58">
        <v>0</v>
      </c>
      <c r="G58" t="s">
        <v>146</v>
      </c>
      <c r="H58">
        <v>5</v>
      </c>
      <c r="I58">
        <v>30</v>
      </c>
      <c r="J58">
        <v>0</v>
      </c>
      <c r="K58">
        <v>30</v>
      </c>
      <c r="L58">
        <v>19.5</v>
      </c>
      <c r="M58">
        <v>10.5</v>
      </c>
      <c r="N58">
        <v>35</v>
      </c>
      <c r="O58">
        <v>2025</v>
      </c>
      <c r="P58">
        <v>6</v>
      </c>
      <c r="Q58" t="s">
        <v>205</v>
      </c>
    </row>
    <row r="59" spans="1:17" x14ac:dyDescent="0.3">
      <c r="A59" t="s">
        <v>212</v>
      </c>
      <c r="B59" s="2">
        <v>45832.352941176468</v>
      </c>
      <c r="C59" t="s">
        <v>76</v>
      </c>
      <c r="D59">
        <v>104</v>
      </c>
      <c r="E59">
        <v>4</v>
      </c>
      <c r="F59">
        <v>10</v>
      </c>
      <c r="G59" t="s">
        <v>146</v>
      </c>
      <c r="H59">
        <v>850</v>
      </c>
      <c r="I59">
        <v>3400</v>
      </c>
      <c r="J59">
        <v>340</v>
      </c>
      <c r="K59">
        <v>3060</v>
      </c>
      <c r="L59">
        <v>1683</v>
      </c>
      <c r="M59">
        <v>1377</v>
      </c>
      <c r="N59">
        <v>44.999999999999993</v>
      </c>
      <c r="O59">
        <v>2025</v>
      </c>
      <c r="P59">
        <v>6</v>
      </c>
      <c r="Q59" t="s">
        <v>205</v>
      </c>
    </row>
    <row r="60" spans="1:17" x14ac:dyDescent="0.3">
      <c r="A60" t="s">
        <v>213</v>
      </c>
      <c r="B60" s="2">
        <v>45835.411764705881</v>
      </c>
      <c r="C60" t="s">
        <v>115</v>
      </c>
      <c r="D60">
        <v>119</v>
      </c>
      <c r="E60">
        <v>2</v>
      </c>
      <c r="F60">
        <v>0</v>
      </c>
      <c r="G60" t="s">
        <v>151</v>
      </c>
      <c r="H60">
        <v>45</v>
      </c>
      <c r="I60">
        <v>90</v>
      </c>
      <c r="J60">
        <v>0</v>
      </c>
      <c r="K60">
        <v>90</v>
      </c>
      <c r="L60">
        <v>49.500000000000007</v>
      </c>
      <c r="M60">
        <v>40.499999999999993</v>
      </c>
      <c r="N60">
        <v>44.999999999999993</v>
      </c>
      <c r="O60">
        <v>2025</v>
      </c>
      <c r="P60">
        <v>6</v>
      </c>
      <c r="Q60" t="s">
        <v>205</v>
      </c>
    </row>
    <row r="61" spans="1:17" x14ac:dyDescent="0.3">
      <c r="A61" t="s">
        <v>214</v>
      </c>
      <c r="B61" s="2">
        <v>45838.470588235286</v>
      </c>
      <c r="C61" t="s">
        <v>111</v>
      </c>
      <c r="D61">
        <v>111</v>
      </c>
      <c r="E61">
        <v>1</v>
      </c>
      <c r="F61">
        <v>0</v>
      </c>
      <c r="G61" t="s">
        <v>151</v>
      </c>
      <c r="H61">
        <v>650</v>
      </c>
      <c r="I61">
        <v>650</v>
      </c>
      <c r="J61">
        <v>0</v>
      </c>
      <c r="K61">
        <v>650</v>
      </c>
      <c r="L61">
        <v>422.5</v>
      </c>
      <c r="M61">
        <v>227.5</v>
      </c>
      <c r="N61">
        <v>35</v>
      </c>
      <c r="O61">
        <v>2025</v>
      </c>
      <c r="P61">
        <v>6</v>
      </c>
      <c r="Q61" t="s">
        <v>205</v>
      </c>
    </row>
    <row r="62" spans="1:17" x14ac:dyDescent="0.3">
      <c r="A62" t="s">
        <v>215</v>
      </c>
      <c r="B62" s="2">
        <v>45841.529411764699</v>
      </c>
      <c r="C62" t="s">
        <v>125</v>
      </c>
      <c r="D62">
        <v>119</v>
      </c>
      <c r="E62">
        <v>3</v>
      </c>
      <c r="F62">
        <v>10</v>
      </c>
      <c r="G62" t="s">
        <v>154</v>
      </c>
      <c r="H62">
        <v>45</v>
      </c>
      <c r="I62">
        <v>135</v>
      </c>
      <c r="J62">
        <v>13.5</v>
      </c>
      <c r="K62">
        <v>121.5</v>
      </c>
      <c r="L62">
        <v>66.825000000000003</v>
      </c>
      <c r="M62">
        <v>54.674999999999997</v>
      </c>
      <c r="N62">
        <v>44.999999999999993</v>
      </c>
      <c r="O62">
        <v>2025</v>
      </c>
      <c r="P62">
        <v>7</v>
      </c>
      <c r="Q62" t="s">
        <v>216</v>
      </c>
    </row>
    <row r="63" spans="1:17" x14ac:dyDescent="0.3">
      <c r="A63" t="s">
        <v>217</v>
      </c>
      <c r="B63" s="2">
        <v>45844.588235294112</v>
      </c>
      <c r="C63" t="s">
        <v>115</v>
      </c>
      <c r="D63">
        <v>104</v>
      </c>
      <c r="E63">
        <v>6</v>
      </c>
      <c r="F63">
        <v>10</v>
      </c>
      <c r="G63" t="s">
        <v>149</v>
      </c>
      <c r="H63">
        <v>850</v>
      </c>
      <c r="I63">
        <v>5100</v>
      </c>
      <c r="J63">
        <v>510</v>
      </c>
      <c r="K63">
        <v>4590</v>
      </c>
      <c r="L63">
        <v>2524.5</v>
      </c>
      <c r="M63">
        <v>2065.5</v>
      </c>
      <c r="N63">
        <v>45</v>
      </c>
      <c r="O63">
        <v>2025</v>
      </c>
      <c r="P63">
        <v>7</v>
      </c>
      <c r="Q63" t="s">
        <v>216</v>
      </c>
    </row>
    <row r="64" spans="1:17" x14ac:dyDescent="0.3">
      <c r="A64" t="s">
        <v>218</v>
      </c>
      <c r="B64" s="2">
        <v>45847.647058823517</v>
      </c>
      <c r="C64" t="s">
        <v>91</v>
      </c>
      <c r="D64">
        <v>110</v>
      </c>
      <c r="E64">
        <v>1</v>
      </c>
      <c r="F64">
        <v>0</v>
      </c>
      <c r="G64" t="s">
        <v>149</v>
      </c>
      <c r="H64">
        <v>320</v>
      </c>
      <c r="I64">
        <v>320</v>
      </c>
      <c r="J64">
        <v>0</v>
      </c>
      <c r="K64">
        <v>320</v>
      </c>
      <c r="L64">
        <v>176</v>
      </c>
      <c r="M64">
        <v>144</v>
      </c>
      <c r="N64">
        <v>45</v>
      </c>
      <c r="O64">
        <v>2025</v>
      </c>
      <c r="P64">
        <v>7</v>
      </c>
      <c r="Q64" t="s">
        <v>216</v>
      </c>
    </row>
    <row r="65" spans="1:17" x14ac:dyDescent="0.3">
      <c r="A65" t="s">
        <v>219</v>
      </c>
      <c r="B65" s="2">
        <v>45850.705882352937</v>
      </c>
      <c r="C65" t="s">
        <v>129</v>
      </c>
      <c r="D65">
        <v>114</v>
      </c>
      <c r="E65">
        <v>7</v>
      </c>
      <c r="F65">
        <v>0</v>
      </c>
      <c r="G65" t="s">
        <v>149</v>
      </c>
      <c r="H65">
        <v>12</v>
      </c>
      <c r="I65">
        <v>84</v>
      </c>
      <c r="J65">
        <v>0</v>
      </c>
      <c r="K65">
        <v>84</v>
      </c>
      <c r="L65">
        <v>58.8</v>
      </c>
      <c r="M65">
        <v>25.2</v>
      </c>
      <c r="N65">
        <v>30</v>
      </c>
      <c r="O65">
        <v>2025</v>
      </c>
      <c r="P65">
        <v>7</v>
      </c>
      <c r="Q65" t="s">
        <v>216</v>
      </c>
    </row>
    <row r="66" spans="1:17" x14ac:dyDescent="0.3">
      <c r="A66" t="s">
        <v>220</v>
      </c>
      <c r="B66" s="2">
        <v>45853.76470588235</v>
      </c>
      <c r="C66" t="s">
        <v>95</v>
      </c>
      <c r="D66">
        <v>110</v>
      </c>
      <c r="E66">
        <v>4</v>
      </c>
      <c r="F66">
        <v>5</v>
      </c>
      <c r="G66" t="s">
        <v>146</v>
      </c>
      <c r="H66">
        <v>320</v>
      </c>
      <c r="I66">
        <v>1280</v>
      </c>
      <c r="J66">
        <v>64</v>
      </c>
      <c r="K66">
        <v>1216</v>
      </c>
      <c r="L66">
        <v>729.6</v>
      </c>
      <c r="M66">
        <v>486.4</v>
      </c>
      <c r="N66">
        <v>40</v>
      </c>
      <c r="O66">
        <v>2025</v>
      </c>
      <c r="P66">
        <v>7</v>
      </c>
      <c r="Q66" t="s">
        <v>216</v>
      </c>
    </row>
    <row r="67" spans="1:17" x14ac:dyDescent="0.3">
      <c r="A67" t="s">
        <v>221</v>
      </c>
      <c r="B67" s="2">
        <v>45856.823529411762</v>
      </c>
      <c r="C67" t="s">
        <v>88</v>
      </c>
      <c r="D67">
        <v>109</v>
      </c>
      <c r="E67">
        <v>1</v>
      </c>
      <c r="F67">
        <v>10</v>
      </c>
      <c r="G67" t="s">
        <v>151</v>
      </c>
      <c r="H67">
        <v>110</v>
      </c>
      <c r="I67">
        <v>110</v>
      </c>
      <c r="J67">
        <v>11</v>
      </c>
      <c r="K67">
        <v>99</v>
      </c>
      <c r="L67">
        <v>64.350000000000009</v>
      </c>
      <c r="M67">
        <v>34.649999999999991</v>
      </c>
      <c r="N67">
        <v>34.999999999999993</v>
      </c>
      <c r="O67">
        <v>2025</v>
      </c>
      <c r="P67">
        <v>7</v>
      </c>
      <c r="Q67" t="s">
        <v>216</v>
      </c>
    </row>
    <row r="68" spans="1:17" x14ac:dyDescent="0.3">
      <c r="A68" t="s">
        <v>222</v>
      </c>
      <c r="B68" s="2">
        <v>45859.882352941167</v>
      </c>
      <c r="C68" t="s">
        <v>125</v>
      </c>
      <c r="D68">
        <v>104</v>
      </c>
      <c r="E68">
        <v>3</v>
      </c>
      <c r="F68">
        <v>5</v>
      </c>
      <c r="G68" t="s">
        <v>146</v>
      </c>
      <c r="H68">
        <v>850</v>
      </c>
      <c r="I68">
        <v>2550</v>
      </c>
      <c r="J68">
        <v>127.5</v>
      </c>
      <c r="K68">
        <v>2422.5</v>
      </c>
      <c r="L68">
        <v>1453.5</v>
      </c>
      <c r="M68">
        <v>969</v>
      </c>
      <c r="N68">
        <v>40</v>
      </c>
      <c r="O68">
        <v>2025</v>
      </c>
      <c r="P68">
        <v>7</v>
      </c>
      <c r="Q68" t="s">
        <v>216</v>
      </c>
    </row>
    <row r="69" spans="1:17" x14ac:dyDescent="0.3">
      <c r="A69" t="s">
        <v>223</v>
      </c>
      <c r="B69" s="2">
        <v>45862.94117647058</v>
      </c>
      <c r="C69" t="s">
        <v>93</v>
      </c>
      <c r="D69">
        <v>108</v>
      </c>
      <c r="E69">
        <v>4</v>
      </c>
      <c r="F69">
        <v>0</v>
      </c>
      <c r="G69" t="s">
        <v>146</v>
      </c>
      <c r="H69">
        <v>260</v>
      </c>
      <c r="I69">
        <v>1040</v>
      </c>
      <c r="J69">
        <v>0</v>
      </c>
      <c r="K69">
        <v>1040</v>
      </c>
      <c r="L69">
        <v>572</v>
      </c>
      <c r="M69">
        <v>468</v>
      </c>
      <c r="N69">
        <v>45</v>
      </c>
      <c r="O69">
        <v>2025</v>
      </c>
      <c r="P69">
        <v>7</v>
      </c>
      <c r="Q69" t="s">
        <v>216</v>
      </c>
    </row>
    <row r="70" spans="1:17" x14ac:dyDescent="0.3">
      <c r="A70" t="s">
        <v>224</v>
      </c>
      <c r="B70" s="2">
        <v>45866</v>
      </c>
      <c r="C70" t="s">
        <v>71</v>
      </c>
      <c r="D70">
        <v>105</v>
      </c>
      <c r="E70">
        <v>3</v>
      </c>
      <c r="F70">
        <v>0</v>
      </c>
      <c r="G70" t="s">
        <v>149</v>
      </c>
      <c r="H70">
        <v>1200</v>
      </c>
      <c r="I70">
        <v>3600</v>
      </c>
      <c r="J70">
        <v>0</v>
      </c>
      <c r="K70">
        <v>3600</v>
      </c>
      <c r="L70">
        <v>2160</v>
      </c>
      <c r="M70">
        <v>1440</v>
      </c>
      <c r="N70">
        <v>40</v>
      </c>
      <c r="O70">
        <v>2025</v>
      </c>
      <c r="P70">
        <v>7</v>
      </c>
      <c r="Q70" t="s">
        <v>216</v>
      </c>
    </row>
    <row r="71" spans="1:17" x14ac:dyDescent="0.3">
      <c r="A71" t="s">
        <v>225</v>
      </c>
      <c r="B71" s="2">
        <v>45869.058823529413</v>
      </c>
      <c r="C71" t="s">
        <v>99</v>
      </c>
      <c r="D71">
        <v>107</v>
      </c>
      <c r="E71">
        <v>1</v>
      </c>
      <c r="F71">
        <v>0</v>
      </c>
      <c r="G71" t="s">
        <v>154</v>
      </c>
      <c r="H71">
        <v>180</v>
      </c>
      <c r="I71">
        <v>180</v>
      </c>
      <c r="J71">
        <v>0</v>
      </c>
      <c r="K71">
        <v>180</v>
      </c>
      <c r="L71">
        <v>99.000000000000014</v>
      </c>
      <c r="M71">
        <v>80.999999999999986</v>
      </c>
      <c r="N71">
        <v>44.999999999999993</v>
      </c>
      <c r="O71">
        <v>2025</v>
      </c>
      <c r="P71">
        <v>7</v>
      </c>
      <c r="Q71" t="s">
        <v>216</v>
      </c>
    </row>
    <row r="72" spans="1:17" x14ac:dyDescent="0.3">
      <c r="A72" t="s">
        <v>226</v>
      </c>
      <c r="B72" s="2">
        <v>45872.117647058818</v>
      </c>
      <c r="C72" t="s">
        <v>117</v>
      </c>
      <c r="D72">
        <v>114</v>
      </c>
      <c r="E72">
        <v>5</v>
      </c>
      <c r="F72">
        <v>5</v>
      </c>
      <c r="G72" t="s">
        <v>146</v>
      </c>
      <c r="H72">
        <v>12</v>
      </c>
      <c r="I72">
        <v>60</v>
      </c>
      <c r="J72">
        <v>3</v>
      </c>
      <c r="K72">
        <v>57</v>
      </c>
      <c r="L72">
        <v>39.9</v>
      </c>
      <c r="M72">
        <v>17.100000000000001</v>
      </c>
      <c r="N72">
        <v>30</v>
      </c>
      <c r="O72">
        <v>2025</v>
      </c>
      <c r="P72">
        <v>8</v>
      </c>
      <c r="Q72" t="s">
        <v>227</v>
      </c>
    </row>
    <row r="73" spans="1:17" x14ac:dyDescent="0.3">
      <c r="A73" t="s">
        <v>228</v>
      </c>
      <c r="B73" s="2">
        <v>45875.176470588231</v>
      </c>
      <c r="C73" t="s">
        <v>79</v>
      </c>
      <c r="D73">
        <v>113</v>
      </c>
      <c r="E73">
        <v>5</v>
      </c>
      <c r="F73">
        <v>10</v>
      </c>
      <c r="G73" t="s">
        <v>149</v>
      </c>
      <c r="H73">
        <v>8</v>
      </c>
      <c r="I73">
        <v>40</v>
      </c>
      <c r="J73">
        <v>4</v>
      </c>
      <c r="K73">
        <v>36</v>
      </c>
      <c r="L73">
        <v>19.8</v>
      </c>
      <c r="M73">
        <v>16.2</v>
      </c>
      <c r="N73">
        <v>44.999999999999993</v>
      </c>
      <c r="O73">
        <v>2025</v>
      </c>
      <c r="P73">
        <v>8</v>
      </c>
      <c r="Q73" t="s">
        <v>227</v>
      </c>
    </row>
    <row r="74" spans="1:17" x14ac:dyDescent="0.3">
      <c r="A74" t="s">
        <v>229</v>
      </c>
      <c r="B74" s="2">
        <v>45878.235294117643</v>
      </c>
      <c r="C74" t="s">
        <v>97</v>
      </c>
      <c r="D74">
        <v>113</v>
      </c>
      <c r="E74">
        <v>1</v>
      </c>
      <c r="F74">
        <v>0</v>
      </c>
      <c r="G74" t="s">
        <v>149</v>
      </c>
      <c r="H74">
        <v>8</v>
      </c>
      <c r="I74">
        <v>8</v>
      </c>
      <c r="J74">
        <v>0</v>
      </c>
      <c r="K74">
        <v>8</v>
      </c>
      <c r="L74">
        <v>4.8</v>
      </c>
      <c r="M74">
        <v>3.2</v>
      </c>
      <c r="N74">
        <v>40</v>
      </c>
      <c r="O74">
        <v>2025</v>
      </c>
      <c r="P74">
        <v>8</v>
      </c>
      <c r="Q74" t="s">
        <v>227</v>
      </c>
    </row>
    <row r="75" spans="1:17" x14ac:dyDescent="0.3">
      <c r="A75" t="s">
        <v>230</v>
      </c>
      <c r="B75" s="2">
        <v>45881.294117647049</v>
      </c>
      <c r="C75" t="s">
        <v>74</v>
      </c>
      <c r="D75">
        <v>108</v>
      </c>
      <c r="E75">
        <v>2</v>
      </c>
      <c r="F75">
        <v>0</v>
      </c>
      <c r="G75" t="s">
        <v>149</v>
      </c>
      <c r="H75">
        <v>260</v>
      </c>
      <c r="I75">
        <v>520</v>
      </c>
      <c r="J75">
        <v>0</v>
      </c>
      <c r="K75">
        <v>520</v>
      </c>
      <c r="L75">
        <v>364</v>
      </c>
      <c r="M75">
        <v>156</v>
      </c>
      <c r="N75">
        <v>30</v>
      </c>
      <c r="O75">
        <v>2025</v>
      </c>
      <c r="P75">
        <v>8</v>
      </c>
      <c r="Q75" t="s">
        <v>227</v>
      </c>
    </row>
    <row r="76" spans="1:17" x14ac:dyDescent="0.3">
      <c r="A76" t="s">
        <v>231</v>
      </c>
      <c r="B76" s="2">
        <v>45884.352941176468</v>
      </c>
      <c r="C76" t="s">
        <v>111</v>
      </c>
      <c r="D76">
        <v>120</v>
      </c>
      <c r="E76">
        <v>2</v>
      </c>
      <c r="F76">
        <v>0</v>
      </c>
      <c r="G76" t="s">
        <v>149</v>
      </c>
      <c r="H76">
        <v>90</v>
      </c>
      <c r="I76">
        <v>180</v>
      </c>
      <c r="J76">
        <v>0</v>
      </c>
      <c r="K76">
        <v>180</v>
      </c>
      <c r="L76">
        <v>117</v>
      </c>
      <c r="M76">
        <v>63</v>
      </c>
      <c r="N76">
        <v>35</v>
      </c>
      <c r="O76">
        <v>2025</v>
      </c>
      <c r="P76">
        <v>8</v>
      </c>
      <c r="Q76" t="s">
        <v>227</v>
      </c>
    </row>
    <row r="77" spans="1:17" x14ac:dyDescent="0.3">
      <c r="A77" t="s">
        <v>232</v>
      </c>
      <c r="B77" s="2">
        <v>45887.411764705881</v>
      </c>
      <c r="C77" t="s">
        <v>99</v>
      </c>
      <c r="D77">
        <v>102</v>
      </c>
      <c r="E77">
        <v>5</v>
      </c>
      <c r="F77">
        <v>5</v>
      </c>
      <c r="G77" t="s">
        <v>149</v>
      </c>
      <c r="H77">
        <v>720</v>
      </c>
      <c r="I77">
        <v>3600</v>
      </c>
      <c r="J77">
        <v>180</v>
      </c>
      <c r="K77">
        <v>3420</v>
      </c>
      <c r="L77">
        <v>2052</v>
      </c>
      <c r="M77">
        <v>1368</v>
      </c>
      <c r="N77">
        <v>40</v>
      </c>
      <c r="O77">
        <v>2025</v>
      </c>
      <c r="P77">
        <v>8</v>
      </c>
      <c r="Q77" t="s">
        <v>227</v>
      </c>
    </row>
    <row r="78" spans="1:17" x14ac:dyDescent="0.3">
      <c r="A78" t="s">
        <v>233</v>
      </c>
      <c r="B78" s="2">
        <v>45890.470588235286</v>
      </c>
      <c r="C78" t="s">
        <v>88</v>
      </c>
      <c r="D78">
        <v>107</v>
      </c>
      <c r="E78">
        <v>6</v>
      </c>
      <c r="F78">
        <v>10</v>
      </c>
      <c r="G78" t="s">
        <v>154</v>
      </c>
      <c r="H78">
        <v>180</v>
      </c>
      <c r="I78">
        <v>1080</v>
      </c>
      <c r="J78">
        <v>108</v>
      </c>
      <c r="K78">
        <v>972</v>
      </c>
      <c r="L78">
        <v>631.80000000000007</v>
      </c>
      <c r="M78">
        <v>340.19999999999987</v>
      </c>
      <c r="N78">
        <v>34.999999999999993</v>
      </c>
      <c r="O78">
        <v>2025</v>
      </c>
      <c r="P78">
        <v>8</v>
      </c>
      <c r="Q78" t="s">
        <v>227</v>
      </c>
    </row>
    <row r="79" spans="1:17" x14ac:dyDescent="0.3">
      <c r="A79" t="s">
        <v>234</v>
      </c>
      <c r="B79" s="2">
        <v>45893.529411764699</v>
      </c>
      <c r="C79" t="s">
        <v>81</v>
      </c>
      <c r="D79">
        <v>103</v>
      </c>
      <c r="E79">
        <v>6</v>
      </c>
      <c r="F79">
        <v>0</v>
      </c>
      <c r="G79" t="s">
        <v>151</v>
      </c>
      <c r="H79">
        <v>280</v>
      </c>
      <c r="I79">
        <v>1680</v>
      </c>
      <c r="J79">
        <v>0</v>
      </c>
      <c r="K79">
        <v>1680</v>
      </c>
      <c r="L79">
        <v>1176</v>
      </c>
      <c r="M79">
        <v>504</v>
      </c>
      <c r="N79">
        <v>30</v>
      </c>
      <c r="O79">
        <v>2025</v>
      </c>
      <c r="P79">
        <v>8</v>
      </c>
      <c r="Q79" t="s">
        <v>227</v>
      </c>
    </row>
    <row r="80" spans="1:17" x14ac:dyDescent="0.3">
      <c r="A80" t="s">
        <v>235</v>
      </c>
      <c r="B80" s="2">
        <v>45896.588235294112</v>
      </c>
      <c r="C80" t="s">
        <v>103</v>
      </c>
      <c r="D80">
        <v>107</v>
      </c>
      <c r="E80">
        <v>7</v>
      </c>
      <c r="F80">
        <v>0</v>
      </c>
      <c r="G80" t="s">
        <v>149</v>
      </c>
      <c r="H80">
        <v>180</v>
      </c>
      <c r="I80">
        <v>1260</v>
      </c>
      <c r="J80">
        <v>0</v>
      </c>
      <c r="K80">
        <v>1260</v>
      </c>
      <c r="L80">
        <v>756</v>
      </c>
      <c r="M80">
        <v>504</v>
      </c>
      <c r="N80">
        <v>40</v>
      </c>
      <c r="O80">
        <v>2025</v>
      </c>
      <c r="P80">
        <v>8</v>
      </c>
      <c r="Q80" t="s">
        <v>227</v>
      </c>
    </row>
    <row r="81" spans="1:17" x14ac:dyDescent="0.3">
      <c r="A81" t="s">
        <v>236</v>
      </c>
      <c r="B81" s="2">
        <v>45899.647058823517</v>
      </c>
      <c r="C81" t="s">
        <v>111</v>
      </c>
      <c r="D81">
        <v>120</v>
      </c>
      <c r="E81">
        <v>6</v>
      </c>
      <c r="F81">
        <v>0</v>
      </c>
      <c r="G81" t="s">
        <v>146</v>
      </c>
      <c r="H81">
        <v>90</v>
      </c>
      <c r="I81">
        <v>540</v>
      </c>
      <c r="J81">
        <v>0</v>
      </c>
      <c r="K81">
        <v>540</v>
      </c>
      <c r="L81">
        <v>351</v>
      </c>
      <c r="M81">
        <v>189</v>
      </c>
      <c r="N81">
        <v>35</v>
      </c>
      <c r="O81">
        <v>2025</v>
      </c>
      <c r="P81">
        <v>8</v>
      </c>
      <c r="Q81" t="s">
        <v>227</v>
      </c>
    </row>
    <row r="82" spans="1:17" x14ac:dyDescent="0.3">
      <c r="A82" t="s">
        <v>237</v>
      </c>
      <c r="B82" s="2">
        <v>45902.705882352937</v>
      </c>
      <c r="C82" t="s">
        <v>127</v>
      </c>
      <c r="D82">
        <v>108</v>
      </c>
      <c r="E82">
        <v>3</v>
      </c>
      <c r="F82">
        <v>0</v>
      </c>
      <c r="G82" t="s">
        <v>151</v>
      </c>
      <c r="H82">
        <v>260</v>
      </c>
      <c r="I82">
        <v>780</v>
      </c>
      <c r="J82">
        <v>0</v>
      </c>
      <c r="K82">
        <v>780</v>
      </c>
      <c r="L82">
        <v>546</v>
      </c>
      <c r="M82">
        <v>234</v>
      </c>
      <c r="N82">
        <v>30</v>
      </c>
      <c r="O82">
        <v>2025</v>
      </c>
      <c r="P82">
        <v>9</v>
      </c>
      <c r="Q82" t="s">
        <v>238</v>
      </c>
    </row>
    <row r="83" spans="1:17" x14ac:dyDescent="0.3">
      <c r="A83" t="s">
        <v>239</v>
      </c>
      <c r="B83" s="2">
        <v>45905.76470588235</v>
      </c>
      <c r="C83" t="s">
        <v>97</v>
      </c>
      <c r="D83">
        <v>119</v>
      </c>
      <c r="E83">
        <v>1</v>
      </c>
      <c r="F83">
        <v>10</v>
      </c>
      <c r="G83" t="s">
        <v>154</v>
      </c>
      <c r="H83">
        <v>45</v>
      </c>
      <c r="I83">
        <v>45</v>
      </c>
      <c r="J83">
        <v>4.5</v>
      </c>
      <c r="K83">
        <v>40.5</v>
      </c>
      <c r="L83">
        <v>26.324999999999999</v>
      </c>
      <c r="M83">
        <v>14.175000000000001</v>
      </c>
      <c r="N83">
        <v>35</v>
      </c>
      <c r="O83">
        <v>2025</v>
      </c>
      <c r="P83">
        <v>9</v>
      </c>
      <c r="Q83" t="s">
        <v>238</v>
      </c>
    </row>
    <row r="84" spans="1:17" x14ac:dyDescent="0.3">
      <c r="A84" t="s">
        <v>240</v>
      </c>
      <c r="B84" s="2">
        <v>45908.823529411762</v>
      </c>
      <c r="C84" t="s">
        <v>76</v>
      </c>
      <c r="D84">
        <v>110</v>
      </c>
      <c r="E84">
        <v>5</v>
      </c>
      <c r="F84">
        <v>0</v>
      </c>
      <c r="G84" t="s">
        <v>146</v>
      </c>
      <c r="H84">
        <v>320</v>
      </c>
      <c r="I84">
        <v>1600</v>
      </c>
      <c r="J84">
        <v>0</v>
      </c>
      <c r="K84">
        <v>1600</v>
      </c>
      <c r="L84">
        <v>960</v>
      </c>
      <c r="M84">
        <v>640</v>
      </c>
      <c r="N84">
        <v>40</v>
      </c>
      <c r="O84">
        <v>2025</v>
      </c>
      <c r="P84">
        <v>9</v>
      </c>
      <c r="Q84" t="s">
        <v>238</v>
      </c>
    </row>
    <row r="85" spans="1:17" x14ac:dyDescent="0.3">
      <c r="A85" t="s">
        <v>241</v>
      </c>
      <c r="B85" s="2">
        <v>45911.882352941167</v>
      </c>
      <c r="C85" t="s">
        <v>119</v>
      </c>
      <c r="D85">
        <v>114</v>
      </c>
      <c r="E85">
        <v>7</v>
      </c>
      <c r="F85">
        <v>0</v>
      </c>
      <c r="G85" t="s">
        <v>151</v>
      </c>
      <c r="H85">
        <v>12</v>
      </c>
      <c r="I85">
        <v>84</v>
      </c>
      <c r="J85">
        <v>0</v>
      </c>
      <c r="K85">
        <v>84</v>
      </c>
      <c r="L85">
        <v>46.2</v>
      </c>
      <c r="M85">
        <v>37.799999999999997</v>
      </c>
      <c r="N85">
        <v>44.999999999999993</v>
      </c>
      <c r="O85">
        <v>2025</v>
      </c>
      <c r="P85">
        <v>9</v>
      </c>
      <c r="Q85" t="s">
        <v>238</v>
      </c>
    </row>
    <row r="86" spans="1:17" x14ac:dyDescent="0.3">
      <c r="A86" t="s">
        <v>242</v>
      </c>
      <c r="B86" s="2">
        <v>45914.94117647058</v>
      </c>
      <c r="C86" t="s">
        <v>107</v>
      </c>
      <c r="D86">
        <v>110</v>
      </c>
      <c r="E86">
        <v>7</v>
      </c>
      <c r="F86">
        <v>15</v>
      </c>
      <c r="G86" t="s">
        <v>149</v>
      </c>
      <c r="H86">
        <v>320</v>
      </c>
      <c r="I86">
        <v>2240</v>
      </c>
      <c r="J86">
        <v>336</v>
      </c>
      <c r="K86">
        <v>1904</v>
      </c>
      <c r="L86">
        <v>1047.2</v>
      </c>
      <c r="M86">
        <v>856.8</v>
      </c>
      <c r="N86">
        <v>44.999999999999993</v>
      </c>
      <c r="O86">
        <v>2025</v>
      </c>
      <c r="P86">
        <v>9</v>
      </c>
      <c r="Q86" t="s">
        <v>238</v>
      </c>
    </row>
    <row r="87" spans="1:17" x14ac:dyDescent="0.3">
      <c r="A87" t="s">
        <v>243</v>
      </c>
      <c r="B87" s="2">
        <v>45918</v>
      </c>
      <c r="C87" t="s">
        <v>113</v>
      </c>
      <c r="D87">
        <v>106</v>
      </c>
      <c r="E87">
        <v>2</v>
      </c>
      <c r="F87">
        <v>0</v>
      </c>
      <c r="G87" t="s">
        <v>154</v>
      </c>
      <c r="H87">
        <v>1450</v>
      </c>
      <c r="I87">
        <v>2900</v>
      </c>
      <c r="J87">
        <v>0</v>
      </c>
      <c r="K87">
        <v>2900</v>
      </c>
      <c r="L87">
        <v>2030</v>
      </c>
      <c r="M87">
        <v>870.00000000000023</v>
      </c>
      <c r="N87">
        <v>30.000000000000011</v>
      </c>
      <c r="O87">
        <v>2025</v>
      </c>
      <c r="P87">
        <v>9</v>
      </c>
      <c r="Q87" t="s">
        <v>238</v>
      </c>
    </row>
    <row r="88" spans="1:17" x14ac:dyDescent="0.3">
      <c r="A88" t="s">
        <v>244</v>
      </c>
      <c r="B88" s="2">
        <v>45921.058823529413</v>
      </c>
      <c r="C88" t="s">
        <v>71</v>
      </c>
      <c r="D88">
        <v>116</v>
      </c>
      <c r="E88">
        <v>2</v>
      </c>
      <c r="F88">
        <v>0</v>
      </c>
      <c r="G88" t="s">
        <v>146</v>
      </c>
      <c r="H88">
        <v>9</v>
      </c>
      <c r="I88">
        <v>18</v>
      </c>
      <c r="J88">
        <v>0</v>
      </c>
      <c r="K88">
        <v>18</v>
      </c>
      <c r="L88">
        <v>11.7</v>
      </c>
      <c r="M88">
        <v>6.2999999999999989</v>
      </c>
      <c r="N88">
        <v>34.999999999999993</v>
      </c>
      <c r="O88">
        <v>2025</v>
      </c>
      <c r="P88">
        <v>9</v>
      </c>
      <c r="Q88" t="s">
        <v>238</v>
      </c>
    </row>
    <row r="89" spans="1:17" x14ac:dyDescent="0.3">
      <c r="A89" t="s">
        <v>245</v>
      </c>
      <c r="B89" s="2">
        <v>45924.117647058818</v>
      </c>
      <c r="C89" t="s">
        <v>88</v>
      </c>
      <c r="D89">
        <v>120</v>
      </c>
      <c r="E89">
        <v>1</v>
      </c>
      <c r="F89">
        <v>0</v>
      </c>
      <c r="G89" t="s">
        <v>154</v>
      </c>
      <c r="H89">
        <v>90</v>
      </c>
      <c r="I89">
        <v>90</v>
      </c>
      <c r="J89">
        <v>0</v>
      </c>
      <c r="K89">
        <v>90</v>
      </c>
      <c r="L89">
        <v>54</v>
      </c>
      <c r="M89">
        <v>36</v>
      </c>
      <c r="N89">
        <v>40</v>
      </c>
      <c r="O89">
        <v>2025</v>
      </c>
      <c r="P89">
        <v>9</v>
      </c>
      <c r="Q89" t="s">
        <v>238</v>
      </c>
    </row>
    <row r="90" spans="1:17" x14ac:dyDescent="0.3">
      <c r="A90" t="s">
        <v>246</v>
      </c>
      <c r="B90" s="2">
        <v>45927.176470588231</v>
      </c>
      <c r="C90" t="s">
        <v>117</v>
      </c>
      <c r="D90">
        <v>106</v>
      </c>
      <c r="E90">
        <v>1</v>
      </c>
      <c r="F90">
        <v>0</v>
      </c>
      <c r="G90" t="s">
        <v>149</v>
      </c>
      <c r="H90">
        <v>1450</v>
      </c>
      <c r="I90">
        <v>1450</v>
      </c>
      <c r="J90">
        <v>0</v>
      </c>
      <c r="K90">
        <v>1450</v>
      </c>
      <c r="L90">
        <v>870</v>
      </c>
      <c r="M90">
        <v>580</v>
      </c>
      <c r="N90">
        <v>40</v>
      </c>
      <c r="O90">
        <v>2025</v>
      </c>
      <c r="P90">
        <v>9</v>
      </c>
      <c r="Q90" t="s">
        <v>238</v>
      </c>
    </row>
    <row r="91" spans="1:17" x14ac:dyDescent="0.3">
      <c r="A91" t="s">
        <v>247</v>
      </c>
      <c r="B91" s="2">
        <v>45930.235294117643</v>
      </c>
      <c r="C91" t="s">
        <v>119</v>
      </c>
      <c r="D91">
        <v>116</v>
      </c>
      <c r="E91">
        <v>4</v>
      </c>
      <c r="F91">
        <v>0</v>
      </c>
      <c r="G91" t="s">
        <v>154</v>
      </c>
      <c r="H91">
        <v>9</v>
      </c>
      <c r="I91">
        <v>36</v>
      </c>
      <c r="J91">
        <v>0</v>
      </c>
      <c r="K91">
        <v>36</v>
      </c>
      <c r="L91">
        <v>23.4</v>
      </c>
      <c r="M91">
        <v>12.6</v>
      </c>
      <c r="N91">
        <v>34.999999999999993</v>
      </c>
      <c r="O91">
        <v>2025</v>
      </c>
      <c r="P91">
        <v>9</v>
      </c>
      <c r="Q91" t="s">
        <v>238</v>
      </c>
    </row>
    <row r="92" spans="1:17" x14ac:dyDescent="0.3">
      <c r="A92" t="s">
        <v>248</v>
      </c>
      <c r="B92" s="2">
        <v>45933.294117647049</v>
      </c>
      <c r="C92" t="s">
        <v>97</v>
      </c>
      <c r="D92">
        <v>106</v>
      </c>
      <c r="E92">
        <v>4</v>
      </c>
      <c r="F92">
        <v>0</v>
      </c>
      <c r="G92" t="s">
        <v>151</v>
      </c>
      <c r="H92">
        <v>1450</v>
      </c>
      <c r="I92">
        <v>5800</v>
      </c>
      <c r="J92">
        <v>0</v>
      </c>
      <c r="K92">
        <v>5800</v>
      </c>
      <c r="L92">
        <v>3770</v>
      </c>
      <c r="M92">
        <v>2030</v>
      </c>
      <c r="N92">
        <v>35</v>
      </c>
      <c r="O92">
        <v>2025</v>
      </c>
      <c r="P92">
        <v>10</v>
      </c>
      <c r="Q92" t="s">
        <v>249</v>
      </c>
    </row>
    <row r="93" spans="1:17" x14ac:dyDescent="0.3">
      <c r="A93" t="s">
        <v>250</v>
      </c>
      <c r="B93" s="2">
        <v>45936.352941176468</v>
      </c>
      <c r="C93" t="s">
        <v>119</v>
      </c>
      <c r="D93">
        <v>115</v>
      </c>
      <c r="E93">
        <v>3</v>
      </c>
      <c r="F93">
        <v>0</v>
      </c>
      <c r="G93" t="s">
        <v>149</v>
      </c>
      <c r="H93">
        <v>5</v>
      </c>
      <c r="I93">
        <v>15</v>
      </c>
      <c r="J93">
        <v>0</v>
      </c>
      <c r="K93">
        <v>15</v>
      </c>
      <c r="L93">
        <v>9.75</v>
      </c>
      <c r="M93">
        <v>5.25</v>
      </c>
      <c r="N93">
        <v>35</v>
      </c>
      <c r="O93">
        <v>2025</v>
      </c>
      <c r="P93">
        <v>10</v>
      </c>
      <c r="Q93" t="s">
        <v>249</v>
      </c>
    </row>
    <row r="94" spans="1:17" x14ac:dyDescent="0.3">
      <c r="A94" t="s">
        <v>251</v>
      </c>
      <c r="B94" s="2">
        <v>45939.411764705881</v>
      </c>
      <c r="C94" t="s">
        <v>121</v>
      </c>
      <c r="D94">
        <v>116</v>
      </c>
      <c r="E94">
        <v>3</v>
      </c>
      <c r="F94">
        <v>0</v>
      </c>
      <c r="G94" t="s">
        <v>151</v>
      </c>
      <c r="H94">
        <v>9</v>
      </c>
      <c r="I94">
        <v>27</v>
      </c>
      <c r="J94">
        <v>0</v>
      </c>
      <c r="K94">
        <v>27</v>
      </c>
      <c r="L94">
        <v>16.2</v>
      </c>
      <c r="M94">
        <v>10.8</v>
      </c>
      <c r="N94">
        <v>40</v>
      </c>
      <c r="O94">
        <v>2025</v>
      </c>
      <c r="P94">
        <v>10</v>
      </c>
      <c r="Q94" t="s">
        <v>249</v>
      </c>
    </row>
    <row r="95" spans="1:17" x14ac:dyDescent="0.3">
      <c r="A95" t="s">
        <v>252</v>
      </c>
      <c r="B95" s="2">
        <v>45942.470588235286</v>
      </c>
      <c r="C95" t="s">
        <v>93</v>
      </c>
      <c r="D95">
        <v>109</v>
      </c>
      <c r="E95">
        <v>6</v>
      </c>
      <c r="F95">
        <v>0</v>
      </c>
      <c r="G95" t="s">
        <v>146</v>
      </c>
      <c r="H95">
        <v>110</v>
      </c>
      <c r="I95">
        <v>660</v>
      </c>
      <c r="J95">
        <v>0</v>
      </c>
      <c r="K95">
        <v>660</v>
      </c>
      <c r="L95">
        <v>429</v>
      </c>
      <c r="M95">
        <v>231</v>
      </c>
      <c r="N95">
        <v>35</v>
      </c>
      <c r="O95">
        <v>2025</v>
      </c>
      <c r="P95">
        <v>10</v>
      </c>
      <c r="Q95" t="s">
        <v>249</v>
      </c>
    </row>
    <row r="96" spans="1:17" x14ac:dyDescent="0.3">
      <c r="A96" t="s">
        <v>253</v>
      </c>
      <c r="B96" s="2">
        <v>45945.529411764699</v>
      </c>
      <c r="C96" t="s">
        <v>123</v>
      </c>
      <c r="D96">
        <v>115</v>
      </c>
      <c r="E96">
        <v>4</v>
      </c>
      <c r="F96">
        <v>5</v>
      </c>
      <c r="G96" t="s">
        <v>149</v>
      </c>
      <c r="H96">
        <v>5</v>
      </c>
      <c r="I96">
        <v>20</v>
      </c>
      <c r="J96">
        <v>1</v>
      </c>
      <c r="K96">
        <v>19</v>
      </c>
      <c r="L96">
        <v>11.4</v>
      </c>
      <c r="M96">
        <v>7.6</v>
      </c>
      <c r="N96">
        <v>40</v>
      </c>
      <c r="O96">
        <v>2025</v>
      </c>
      <c r="P96">
        <v>10</v>
      </c>
      <c r="Q96" t="s">
        <v>249</v>
      </c>
    </row>
    <row r="97" spans="1:17" x14ac:dyDescent="0.3">
      <c r="A97" t="s">
        <v>254</v>
      </c>
      <c r="B97" s="2">
        <v>45948.588235294112</v>
      </c>
      <c r="C97" t="s">
        <v>85</v>
      </c>
      <c r="D97">
        <v>106</v>
      </c>
      <c r="E97">
        <v>6</v>
      </c>
      <c r="F97">
        <v>0</v>
      </c>
      <c r="G97" t="s">
        <v>151</v>
      </c>
      <c r="H97">
        <v>1450</v>
      </c>
      <c r="I97">
        <v>8700</v>
      </c>
      <c r="J97">
        <v>0</v>
      </c>
      <c r="K97">
        <v>8700</v>
      </c>
      <c r="L97">
        <v>6090</v>
      </c>
      <c r="M97">
        <v>2610</v>
      </c>
      <c r="N97">
        <v>30</v>
      </c>
      <c r="O97">
        <v>2025</v>
      </c>
      <c r="P97">
        <v>10</v>
      </c>
      <c r="Q97" t="s">
        <v>249</v>
      </c>
    </row>
    <row r="98" spans="1:17" x14ac:dyDescent="0.3">
      <c r="A98" t="s">
        <v>255</v>
      </c>
      <c r="B98" s="2">
        <v>45951.647058823517</v>
      </c>
      <c r="C98" t="s">
        <v>83</v>
      </c>
      <c r="D98">
        <v>102</v>
      </c>
      <c r="E98">
        <v>7</v>
      </c>
      <c r="F98">
        <v>0</v>
      </c>
      <c r="G98" t="s">
        <v>146</v>
      </c>
      <c r="H98">
        <v>720</v>
      </c>
      <c r="I98">
        <v>5040</v>
      </c>
      <c r="J98">
        <v>0</v>
      </c>
      <c r="K98">
        <v>5040</v>
      </c>
      <c r="L98">
        <v>2772</v>
      </c>
      <c r="M98">
        <v>2268</v>
      </c>
      <c r="N98">
        <v>45</v>
      </c>
      <c r="O98">
        <v>2025</v>
      </c>
      <c r="P98">
        <v>10</v>
      </c>
      <c r="Q98" t="s">
        <v>249</v>
      </c>
    </row>
    <row r="99" spans="1:17" x14ac:dyDescent="0.3">
      <c r="A99" t="s">
        <v>256</v>
      </c>
      <c r="B99" s="2">
        <v>45954.705882352937</v>
      </c>
      <c r="C99" t="s">
        <v>111</v>
      </c>
      <c r="D99">
        <v>102</v>
      </c>
      <c r="E99">
        <v>3</v>
      </c>
      <c r="F99">
        <v>0</v>
      </c>
      <c r="G99" t="s">
        <v>149</v>
      </c>
      <c r="H99">
        <v>720</v>
      </c>
      <c r="I99">
        <v>2160</v>
      </c>
      <c r="J99">
        <v>0</v>
      </c>
      <c r="K99">
        <v>2160</v>
      </c>
      <c r="L99">
        <v>1188</v>
      </c>
      <c r="M99">
        <v>972</v>
      </c>
      <c r="N99">
        <v>45</v>
      </c>
      <c r="O99">
        <v>2025</v>
      </c>
      <c r="P99">
        <v>10</v>
      </c>
      <c r="Q99" t="s">
        <v>249</v>
      </c>
    </row>
    <row r="100" spans="1:17" x14ac:dyDescent="0.3">
      <c r="A100" t="s">
        <v>257</v>
      </c>
      <c r="B100" s="2">
        <v>45957.76470588235</v>
      </c>
      <c r="C100" t="s">
        <v>109</v>
      </c>
      <c r="D100">
        <v>109</v>
      </c>
      <c r="E100">
        <v>2</v>
      </c>
      <c r="F100">
        <v>10</v>
      </c>
      <c r="G100" t="s">
        <v>151</v>
      </c>
      <c r="H100">
        <v>110</v>
      </c>
      <c r="I100">
        <v>220</v>
      </c>
      <c r="J100">
        <v>22</v>
      </c>
      <c r="K100">
        <v>198</v>
      </c>
      <c r="L100">
        <v>118.8</v>
      </c>
      <c r="M100">
        <v>79.2</v>
      </c>
      <c r="N100">
        <v>40</v>
      </c>
      <c r="O100">
        <v>2025</v>
      </c>
      <c r="P100">
        <v>10</v>
      </c>
      <c r="Q100" t="s">
        <v>249</v>
      </c>
    </row>
    <row r="101" spans="1:17" x14ac:dyDescent="0.3">
      <c r="A101" t="s">
        <v>258</v>
      </c>
      <c r="B101" s="2">
        <v>45960.823529411762</v>
      </c>
      <c r="C101" t="s">
        <v>76</v>
      </c>
      <c r="D101">
        <v>119</v>
      </c>
      <c r="E101">
        <v>7</v>
      </c>
      <c r="F101">
        <v>10</v>
      </c>
      <c r="G101" t="s">
        <v>151</v>
      </c>
      <c r="H101">
        <v>45</v>
      </c>
      <c r="I101">
        <v>315</v>
      </c>
      <c r="J101">
        <v>31.5</v>
      </c>
      <c r="K101">
        <v>283.5</v>
      </c>
      <c r="L101">
        <v>184.27500000000001</v>
      </c>
      <c r="M101">
        <v>99.224999999999994</v>
      </c>
      <c r="N101">
        <v>35</v>
      </c>
      <c r="O101">
        <v>2025</v>
      </c>
      <c r="P101">
        <v>10</v>
      </c>
      <c r="Q101" t="s">
        <v>249</v>
      </c>
    </row>
    <row r="102" spans="1:17" x14ac:dyDescent="0.3">
      <c r="A102" t="s">
        <v>259</v>
      </c>
      <c r="B102" s="2">
        <v>45963.882352941167</v>
      </c>
      <c r="C102" t="s">
        <v>119</v>
      </c>
      <c r="D102">
        <v>103</v>
      </c>
      <c r="E102">
        <v>5</v>
      </c>
      <c r="F102">
        <v>0</v>
      </c>
      <c r="G102" t="s">
        <v>149</v>
      </c>
      <c r="H102">
        <v>280</v>
      </c>
      <c r="I102">
        <v>1400</v>
      </c>
      <c r="J102">
        <v>0</v>
      </c>
      <c r="K102">
        <v>1400</v>
      </c>
      <c r="L102">
        <v>910</v>
      </c>
      <c r="M102">
        <v>490</v>
      </c>
      <c r="N102">
        <v>35</v>
      </c>
      <c r="O102">
        <v>2025</v>
      </c>
      <c r="P102">
        <v>11</v>
      </c>
      <c r="Q102" t="s">
        <v>260</v>
      </c>
    </row>
    <row r="103" spans="1:17" x14ac:dyDescent="0.3">
      <c r="A103" t="s">
        <v>261</v>
      </c>
      <c r="B103" s="2">
        <v>45966.94117647058</v>
      </c>
      <c r="C103" t="s">
        <v>79</v>
      </c>
      <c r="D103">
        <v>110</v>
      </c>
      <c r="E103">
        <v>3</v>
      </c>
      <c r="F103">
        <v>0</v>
      </c>
      <c r="G103" t="s">
        <v>154</v>
      </c>
      <c r="H103">
        <v>320</v>
      </c>
      <c r="I103">
        <v>960</v>
      </c>
      <c r="J103">
        <v>0</v>
      </c>
      <c r="K103">
        <v>960</v>
      </c>
      <c r="L103">
        <v>576</v>
      </c>
      <c r="M103">
        <v>384</v>
      </c>
      <c r="N103">
        <v>40</v>
      </c>
      <c r="O103">
        <v>2025</v>
      </c>
      <c r="P103">
        <v>11</v>
      </c>
      <c r="Q103" t="s">
        <v>260</v>
      </c>
    </row>
    <row r="104" spans="1:17" x14ac:dyDescent="0.3">
      <c r="A104" t="s">
        <v>262</v>
      </c>
      <c r="B104" s="2">
        <v>45970</v>
      </c>
      <c r="C104" t="s">
        <v>119</v>
      </c>
      <c r="D104">
        <v>115</v>
      </c>
      <c r="E104">
        <v>5</v>
      </c>
      <c r="F104">
        <v>0</v>
      </c>
      <c r="G104" t="s">
        <v>146</v>
      </c>
      <c r="H104">
        <v>5</v>
      </c>
      <c r="I104">
        <v>25</v>
      </c>
      <c r="J104">
        <v>0</v>
      </c>
      <c r="K104">
        <v>25</v>
      </c>
      <c r="L104">
        <v>17.5</v>
      </c>
      <c r="M104">
        <v>7.5</v>
      </c>
      <c r="N104">
        <v>30</v>
      </c>
      <c r="O104">
        <v>2025</v>
      </c>
      <c r="P104">
        <v>11</v>
      </c>
      <c r="Q104" t="s">
        <v>260</v>
      </c>
    </row>
    <row r="105" spans="1:17" x14ac:dyDescent="0.3">
      <c r="A105" t="s">
        <v>263</v>
      </c>
      <c r="B105" s="2">
        <v>45973.058823529413</v>
      </c>
      <c r="C105" t="s">
        <v>63</v>
      </c>
      <c r="D105">
        <v>105</v>
      </c>
      <c r="E105">
        <v>4</v>
      </c>
      <c r="F105">
        <v>0</v>
      </c>
      <c r="G105" t="s">
        <v>149</v>
      </c>
      <c r="H105">
        <v>1200</v>
      </c>
      <c r="I105">
        <v>4800</v>
      </c>
      <c r="J105">
        <v>0</v>
      </c>
      <c r="K105">
        <v>4800</v>
      </c>
      <c r="L105">
        <v>2880</v>
      </c>
      <c r="M105">
        <v>1920</v>
      </c>
      <c r="N105">
        <v>40</v>
      </c>
      <c r="O105">
        <v>2025</v>
      </c>
      <c r="P105">
        <v>11</v>
      </c>
      <c r="Q105" t="s">
        <v>260</v>
      </c>
    </row>
    <row r="106" spans="1:17" x14ac:dyDescent="0.3">
      <c r="A106" t="s">
        <v>264</v>
      </c>
      <c r="B106" s="2">
        <v>45976.117647058818</v>
      </c>
      <c r="C106" t="s">
        <v>117</v>
      </c>
      <c r="D106">
        <v>115</v>
      </c>
      <c r="E106">
        <v>7</v>
      </c>
      <c r="F106">
        <v>0</v>
      </c>
      <c r="G106" t="s">
        <v>154</v>
      </c>
      <c r="H106">
        <v>5</v>
      </c>
      <c r="I106">
        <v>35</v>
      </c>
      <c r="J106">
        <v>0</v>
      </c>
      <c r="K106">
        <v>35</v>
      </c>
      <c r="L106">
        <v>19.25</v>
      </c>
      <c r="M106">
        <v>15.75</v>
      </c>
      <c r="N106">
        <v>45</v>
      </c>
      <c r="O106">
        <v>2025</v>
      </c>
      <c r="P106">
        <v>11</v>
      </c>
      <c r="Q106" t="s">
        <v>260</v>
      </c>
    </row>
    <row r="107" spans="1:17" x14ac:dyDescent="0.3">
      <c r="A107" t="s">
        <v>265</v>
      </c>
      <c r="B107" s="2">
        <v>45979.176470588231</v>
      </c>
      <c r="C107" t="s">
        <v>117</v>
      </c>
      <c r="D107">
        <v>107</v>
      </c>
      <c r="E107">
        <v>2</v>
      </c>
      <c r="F107">
        <v>0</v>
      </c>
      <c r="G107" t="s">
        <v>154</v>
      </c>
      <c r="H107">
        <v>180</v>
      </c>
      <c r="I107">
        <v>360</v>
      </c>
      <c r="J107">
        <v>0</v>
      </c>
      <c r="K107">
        <v>360</v>
      </c>
      <c r="L107">
        <v>198</v>
      </c>
      <c r="M107">
        <v>162</v>
      </c>
      <c r="N107">
        <v>44.999999999999993</v>
      </c>
      <c r="O107">
        <v>2025</v>
      </c>
      <c r="P107">
        <v>11</v>
      </c>
      <c r="Q107" t="s">
        <v>260</v>
      </c>
    </row>
    <row r="108" spans="1:17" x14ac:dyDescent="0.3">
      <c r="A108" t="s">
        <v>266</v>
      </c>
      <c r="B108" s="2">
        <v>45982.235294117643</v>
      </c>
      <c r="C108" t="s">
        <v>117</v>
      </c>
      <c r="D108">
        <v>117</v>
      </c>
      <c r="E108">
        <v>7</v>
      </c>
      <c r="F108">
        <v>0</v>
      </c>
      <c r="G108" t="s">
        <v>149</v>
      </c>
      <c r="H108">
        <v>35</v>
      </c>
      <c r="I108">
        <v>245</v>
      </c>
      <c r="J108">
        <v>0</v>
      </c>
      <c r="K108">
        <v>245</v>
      </c>
      <c r="L108">
        <v>171.5</v>
      </c>
      <c r="M108">
        <v>73.5</v>
      </c>
      <c r="N108">
        <v>30</v>
      </c>
      <c r="O108">
        <v>2025</v>
      </c>
      <c r="P108">
        <v>11</v>
      </c>
      <c r="Q108" t="s">
        <v>260</v>
      </c>
    </row>
    <row r="109" spans="1:17" x14ac:dyDescent="0.3">
      <c r="A109" t="s">
        <v>267</v>
      </c>
      <c r="B109" s="2">
        <v>45985.294117647049</v>
      </c>
      <c r="C109" t="s">
        <v>109</v>
      </c>
      <c r="D109">
        <v>112</v>
      </c>
      <c r="E109">
        <v>7</v>
      </c>
      <c r="F109">
        <v>0</v>
      </c>
      <c r="G109" t="s">
        <v>146</v>
      </c>
      <c r="H109">
        <v>240</v>
      </c>
      <c r="I109">
        <v>1680</v>
      </c>
      <c r="J109">
        <v>0</v>
      </c>
      <c r="K109">
        <v>1680</v>
      </c>
      <c r="L109">
        <v>924.00000000000011</v>
      </c>
      <c r="M109">
        <v>755.99999999999989</v>
      </c>
      <c r="N109">
        <v>44.999999999999993</v>
      </c>
      <c r="O109">
        <v>2025</v>
      </c>
      <c r="P109">
        <v>11</v>
      </c>
      <c r="Q109" t="s">
        <v>260</v>
      </c>
    </row>
    <row r="110" spans="1:17" x14ac:dyDescent="0.3">
      <c r="A110" t="s">
        <v>268</v>
      </c>
      <c r="B110" s="2">
        <v>45988.352941176468</v>
      </c>
      <c r="C110" t="s">
        <v>99</v>
      </c>
      <c r="D110">
        <v>111</v>
      </c>
      <c r="E110">
        <v>2</v>
      </c>
      <c r="F110">
        <v>0</v>
      </c>
      <c r="G110" t="s">
        <v>149</v>
      </c>
      <c r="H110">
        <v>650</v>
      </c>
      <c r="I110">
        <v>1300</v>
      </c>
      <c r="J110">
        <v>0</v>
      </c>
      <c r="K110">
        <v>1300</v>
      </c>
      <c r="L110">
        <v>909.99999999999989</v>
      </c>
      <c r="M110">
        <v>390.00000000000011</v>
      </c>
      <c r="N110">
        <v>30.000000000000011</v>
      </c>
      <c r="O110">
        <v>2025</v>
      </c>
      <c r="P110">
        <v>11</v>
      </c>
      <c r="Q110" t="s">
        <v>260</v>
      </c>
    </row>
    <row r="111" spans="1:17" x14ac:dyDescent="0.3">
      <c r="A111" t="s">
        <v>269</v>
      </c>
      <c r="B111" s="2">
        <v>45991.411764705881</v>
      </c>
      <c r="C111" t="s">
        <v>113</v>
      </c>
      <c r="D111">
        <v>104</v>
      </c>
      <c r="E111">
        <v>2</v>
      </c>
      <c r="F111">
        <v>0</v>
      </c>
      <c r="G111" t="s">
        <v>154</v>
      </c>
      <c r="H111">
        <v>850</v>
      </c>
      <c r="I111">
        <v>1700</v>
      </c>
      <c r="J111">
        <v>0</v>
      </c>
      <c r="K111">
        <v>1700</v>
      </c>
      <c r="L111">
        <v>1020</v>
      </c>
      <c r="M111">
        <v>680</v>
      </c>
      <c r="N111">
        <v>40</v>
      </c>
      <c r="O111">
        <v>2025</v>
      </c>
      <c r="P111">
        <v>11</v>
      </c>
      <c r="Q111" t="s">
        <v>260</v>
      </c>
    </row>
    <row r="112" spans="1:17" x14ac:dyDescent="0.3">
      <c r="A112" t="s">
        <v>270</v>
      </c>
      <c r="B112" s="2">
        <v>45994.470588235286</v>
      </c>
      <c r="C112" t="s">
        <v>85</v>
      </c>
      <c r="D112">
        <v>110</v>
      </c>
      <c r="E112">
        <v>4</v>
      </c>
      <c r="F112">
        <v>10</v>
      </c>
      <c r="G112" t="s">
        <v>146</v>
      </c>
      <c r="H112">
        <v>320</v>
      </c>
      <c r="I112">
        <v>1280</v>
      </c>
      <c r="J112">
        <v>128</v>
      </c>
      <c r="K112">
        <v>1152</v>
      </c>
      <c r="L112">
        <v>633.6</v>
      </c>
      <c r="M112">
        <v>518.4</v>
      </c>
      <c r="N112">
        <v>44.999999999999993</v>
      </c>
      <c r="O112">
        <v>2025</v>
      </c>
      <c r="P112">
        <v>12</v>
      </c>
      <c r="Q112" t="s">
        <v>271</v>
      </c>
    </row>
    <row r="113" spans="1:17" x14ac:dyDescent="0.3">
      <c r="A113" t="s">
        <v>272</v>
      </c>
      <c r="B113" s="2">
        <v>45997.529411764699</v>
      </c>
      <c r="C113" t="s">
        <v>117</v>
      </c>
      <c r="D113">
        <v>118</v>
      </c>
      <c r="E113">
        <v>1</v>
      </c>
      <c r="F113">
        <v>0</v>
      </c>
      <c r="G113" t="s">
        <v>146</v>
      </c>
      <c r="H113">
        <v>55</v>
      </c>
      <c r="I113">
        <v>55</v>
      </c>
      <c r="J113">
        <v>0</v>
      </c>
      <c r="K113">
        <v>55</v>
      </c>
      <c r="L113">
        <v>33</v>
      </c>
      <c r="M113">
        <v>22</v>
      </c>
      <c r="N113">
        <v>40</v>
      </c>
      <c r="O113">
        <v>2025</v>
      </c>
      <c r="P113">
        <v>12</v>
      </c>
      <c r="Q113" t="s">
        <v>271</v>
      </c>
    </row>
    <row r="114" spans="1:17" x14ac:dyDescent="0.3">
      <c r="A114" t="s">
        <v>273</v>
      </c>
      <c r="B114" s="2">
        <v>46000.588235294112</v>
      </c>
      <c r="C114" t="s">
        <v>103</v>
      </c>
      <c r="D114">
        <v>101</v>
      </c>
      <c r="E114">
        <v>3</v>
      </c>
      <c r="F114">
        <v>15</v>
      </c>
      <c r="G114" t="s">
        <v>149</v>
      </c>
      <c r="H114">
        <v>550</v>
      </c>
      <c r="I114">
        <v>1650</v>
      </c>
      <c r="J114">
        <v>247.5</v>
      </c>
      <c r="K114">
        <v>1402.5</v>
      </c>
      <c r="L114">
        <v>911.625</v>
      </c>
      <c r="M114">
        <v>490.875</v>
      </c>
      <c r="N114">
        <v>35</v>
      </c>
      <c r="O114">
        <v>2025</v>
      </c>
      <c r="P114">
        <v>12</v>
      </c>
      <c r="Q114" t="s">
        <v>271</v>
      </c>
    </row>
    <row r="115" spans="1:17" x14ac:dyDescent="0.3">
      <c r="A115" t="s">
        <v>274</v>
      </c>
      <c r="B115" s="2">
        <v>46003.647058823517</v>
      </c>
      <c r="C115" t="s">
        <v>97</v>
      </c>
      <c r="D115">
        <v>116</v>
      </c>
      <c r="E115">
        <v>4</v>
      </c>
      <c r="F115">
        <v>0</v>
      </c>
      <c r="G115" t="s">
        <v>154</v>
      </c>
      <c r="H115">
        <v>9</v>
      </c>
      <c r="I115">
        <v>36</v>
      </c>
      <c r="J115">
        <v>0</v>
      </c>
      <c r="K115">
        <v>36</v>
      </c>
      <c r="L115">
        <v>21.6</v>
      </c>
      <c r="M115">
        <v>14.4</v>
      </c>
      <c r="N115">
        <v>40.000000000000007</v>
      </c>
      <c r="O115">
        <v>2025</v>
      </c>
      <c r="P115">
        <v>12</v>
      </c>
      <c r="Q115" t="s">
        <v>271</v>
      </c>
    </row>
    <row r="116" spans="1:17" x14ac:dyDescent="0.3">
      <c r="A116" t="s">
        <v>275</v>
      </c>
      <c r="B116" s="2">
        <v>46006.705882352937</v>
      </c>
      <c r="C116" t="s">
        <v>101</v>
      </c>
      <c r="D116">
        <v>110</v>
      </c>
      <c r="E116">
        <v>7</v>
      </c>
      <c r="F116">
        <v>10</v>
      </c>
      <c r="G116" t="s">
        <v>149</v>
      </c>
      <c r="H116">
        <v>320</v>
      </c>
      <c r="I116">
        <v>2240</v>
      </c>
      <c r="J116">
        <v>224</v>
      </c>
      <c r="K116">
        <v>2016</v>
      </c>
      <c r="L116">
        <v>1411.2</v>
      </c>
      <c r="M116">
        <v>604.80000000000018</v>
      </c>
      <c r="N116">
        <v>30.000000000000011</v>
      </c>
      <c r="O116">
        <v>2025</v>
      </c>
      <c r="P116">
        <v>12</v>
      </c>
      <c r="Q116" t="s">
        <v>271</v>
      </c>
    </row>
    <row r="117" spans="1:17" x14ac:dyDescent="0.3">
      <c r="A117" t="s">
        <v>276</v>
      </c>
      <c r="B117" s="2">
        <v>46009.76470588235</v>
      </c>
      <c r="C117" t="s">
        <v>105</v>
      </c>
      <c r="D117">
        <v>115</v>
      </c>
      <c r="E117">
        <v>7</v>
      </c>
      <c r="F117">
        <v>15</v>
      </c>
      <c r="G117" t="s">
        <v>149</v>
      </c>
      <c r="H117">
        <v>5</v>
      </c>
      <c r="I117">
        <v>35</v>
      </c>
      <c r="J117">
        <v>5.25</v>
      </c>
      <c r="K117">
        <v>29.75</v>
      </c>
      <c r="L117">
        <v>19.337499999999999</v>
      </c>
      <c r="M117">
        <v>10.4125</v>
      </c>
      <c r="N117">
        <v>34.999999999999993</v>
      </c>
      <c r="O117">
        <v>2025</v>
      </c>
      <c r="P117">
        <v>12</v>
      </c>
      <c r="Q117" t="s">
        <v>271</v>
      </c>
    </row>
    <row r="118" spans="1:17" x14ac:dyDescent="0.3">
      <c r="A118" t="s">
        <v>277</v>
      </c>
      <c r="B118" s="2">
        <v>46012.823529411762</v>
      </c>
      <c r="C118" t="s">
        <v>67</v>
      </c>
      <c r="D118">
        <v>114</v>
      </c>
      <c r="E118">
        <v>2</v>
      </c>
      <c r="F118">
        <v>15</v>
      </c>
      <c r="G118" t="s">
        <v>149</v>
      </c>
      <c r="H118">
        <v>12</v>
      </c>
      <c r="I118">
        <v>24</v>
      </c>
      <c r="J118">
        <v>3.6</v>
      </c>
      <c r="K118">
        <v>20.399999999999999</v>
      </c>
      <c r="L118">
        <v>12.24</v>
      </c>
      <c r="M118">
        <v>8.16</v>
      </c>
      <c r="N118">
        <v>40</v>
      </c>
      <c r="O118">
        <v>2025</v>
      </c>
      <c r="P118">
        <v>12</v>
      </c>
      <c r="Q118" t="s">
        <v>271</v>
      </c>
    </row>
    <row r="119" spans="1:17" x14ac:dyDescent="0.3">
      <c r="A119" t="s">
        <v>278</v>
      </c>
      <c r="B119" s="2">
        <v>46015.882352941167</v>
      </c>
      <c r="C119" t="s">
        <v>76</v>
      </c>
      <c r="D119">
        <v>109</v>
      </c>
      <c r="E119">
        <v>7</v>
      </c>
      <c r="F119">
        <v>10</v>
      </c>
      <c r="G119" t="s">
        <v>146</v>
      </c>
      <c r="H119">
        <v>110</v>
      </c>
      <c r="I119">
        <v>770</v>
      </c>
      <c r="J119">
        <v>77</v>
      </c>
      <c r="K119">
        <v>693</v>
      </c>
      <c r="L119">
        <v>450.45</v>
      </c>
      <c r="M119">
        <v>242.55</v>
      </c>
      <c r="N119">
        <v>35</v>
      </c>
      <c r="O119">
        <v>2025</v>
      </c>
      <c r="P119">
        <v>12</v>
      </c>
      <c r="Q119" t="s">
        <v>271</v>
      </c>
    </row>
    <row r="120" spans="1:17" x14ac:dyDescent="0.3">
      <c r="A120" t="s">
        <v>279</v>
      </c>
      <c r="B120" s="2">
        <v>46018.94117647058</v>
      </c>
      <c r="C120" t="s">
        <v>83</v>
      </c>
      <c r="D120">
        <v>107</v>
      </c>
      <c r="E120">
        <v>1</v>
      </c>
      <c r="F120">
        <v>10</v>
      </c>
      <c r="G120" t="s">
        <v>149</v>
      </c>
      <c r="H120">
        <v>180</v>
      </c>
      <c r="I120">
        <v>180</v>
      </c>
      <c r="J120">
        <v>18</v>
      </c>
      <c r="K120">
        <v>162</v>
      </c>
      <c r="L120">
        <v>113.4</v>
      </c>
      <c r="M120">
        <v>48.600000000000009</v>
      </c>
      <c r="N120">
        <v>30</v>
      </c>
      <c r="O120">
        <v>2025</v>
      </c>
      <c r="P120">
        <v>12</v>
      </c>
      <c r="Q120" t="s">
        <v>271</v>
      </c>
    </row>
    <row r="121" spans="1:17" x14ac:dyDescent="0.3">
      <c r="A121" t="s">
        <v>280</v>
      </c>
      <c r="B121" s="2">
        <v>46022</v>
      </c>
      <c r="C121" t="s">
        <v>74</v>
      </c>
      <c r="D121">
        <v>113</v>
      </c>
      <c r="E121">
        <v>6</v>
      </c>
      <c r="F121">
        <v>5</v>
      </c>
      <c r="G121" t="s">
        <v>154</v>
      </c>
      <c r="H121">
        <v>8</v>
      </c>
      <c r="I121">
        <v>48</v>
      </c>
      <c r="J121">
        <v>2.4</v>
      </c>
      <c r="K121">
        <v>45.6</v>
      </c>
      <c r="L121">
        <v>27.36</v>
      </c>
      <c r="M121">
        <v>18.239999999999998</v>
      </c>
      <c r="N121">
        <v>40</v>
      </c>
      <c r="O121">
        <v>2025</v>
      </c>
      <c r="P121">
        <v>12</v>
      </c>
      <c r="Q121" t="s">
        <v>271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539B-A028-4C42-9A78-4BEA879808CE}">
  <dimension ref="E4:E6"/>
  <sheetViews>
    <sheetView tabSelected="1" workbookViewId="0">
      <selection activeCell="E6" sqref="E6"/>
    </sheetView>
  </sheetViews>
  <sheetFormatPr defaultRowHeight="14.4" x14ac:dyDescent="0.3"/>
  <sheetData>
    <row r="4" spans="5:5" x14ac:dyDescent="0.3">
      <c r="E4">
        <f>Sheet1!S27</f>
        <v>0</v>
      </c>
    </row>
    <row r="6" spans="5:5" x14ac:dyDescent="0.3">
      <c r="E6">
        <f>SUM(orders[NetSales])</f>
        <v>135274.20000000001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Problem_Statement</vt:lpstr>
      <vt:lpstr>Category</vt:lpstr>
      <vt:lpstr>Subcategory</vt:lpstr>
      <vt:lpstr>Product</vt:lpstr>
      <vt:lpstr>Customer</vt:lpstr>
      <vt:lpstr>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Sunitha V</cp:lastModifiedBy>
  <dcterms:created xsi:type="dcterms:W3CDTF">2026-09-25T03:38:02Z</dcterms:created>
  <dcterms:modified xsi:type="dcterms:W3CDTF">2026-09-25T04:46:08Z</dcterms:modified>
</cp:coreProperties>
</file>